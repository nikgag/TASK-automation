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nico/Desktop/Coding/TASK web app/data/"/>
    </mc:Choice>
  </mc:AlternateContent>
  <xr:revisionPtr revIDLastSave="0" documentId="13_ncr:1_{B9228BEB-9496-A34C-B996-33F5513DBAEA}" xr6:coauthVersionLast="47" xr6:coauthVersionMax="47" xr10:uidLastSave="{00000000-0000-0000-0000-000000000000}"/>
  <bookViews>
    <workbookView xWindow="0" yWindow="600" windowWidth="28800" windowHeight="15800" tabRatio="500" activeTab="3" xr2:uid="{00000000-000D-0000-FFFF-FFFF00000000}"/>
  </bookViews>
  <sheets>
    <sheet name="Riepilogo" sheetId="1" r:id="rId1"/>
    <sheet name="Casa" sheetId="2" r:id="rId2"/>
    <sheet name="Ospite" sheetId="3" r:id="rId3"/>
    <sheet name="foglio CS" sheetId="4" r:id="rId4"/>
  </sheets>
  <definedNames>
    <definedName name="_xlnm.Print_Area" localSheetId="1">Casa!$A$1:$M$24</definedName>
    <definedName name="_xlnm.Print_Area" localSheetId="3">'foglio CS'!$A$1:$N$40</definedName>
    <definedName name="_xlnm.Print_Area" localSheetId="2">Ospite!$A$1:$M$21</definedName>
    <definedName name="_xlnm.Print_Titles" localSheetId="1">Casa!$8:$8</definedName>
    <definedName name="_xlnm.Print_Titles" localSheetId="2">Ospite!$8:$8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/>
  <c r="B6" i="2"/>
  <c r="B5" i="2"/>
  <c r="B4" i="2"/>
  <c r="C18" i="1"/>
  <c r="B18" i="1"/>
  <c r="C17" i="1"/>
  <c r="B17" i="1"/>
  <c r="C16" i="1"/>
  <c r="B16" i="1"/>
  <c r="C12" i="1"/>
  <c r="B12" i="1"/>
  <c r="C11" i="1"/>
  <c r="B11" i="1"/>
  <c r="C10" i="1"/>
  <c r="C14" i="1" s="1"/>
  <c r="B10" i="1"/>
  <c r="B14" i="1" s="1"/>
  <c r="C9" i="1"/>
  <c r="B9" i="1"/>
  <c r="C8" i="1"/>
  <c r="C20" i="1" s="1"/>
  <c r="B8" i="1"/>
  <c r="B20" i="1" s="1"/>
  <c r="C7" i="1"/>
  <c r="B7" i="1"/>
  <c r="C6" i="1"/>
  <c r="B6" i="1"/>
</calcChain>
</file>

<file path=xl/sharedStrings.xml><?xml version="1.0" encoding="utf-8"?>
<sst xmlns="http://schemas.openxmlformats.org/spreadsheetml/2006/main" count="709" uniqueCount="241">
  <si>
    <t>Palle</t>
  </si>
  <si>
    <t>Campi</t>
  </si>
  <si>
    <t>Campi R.</t>
  </si>
  <si>
    <t>N.</t>
  </si>
  <si>
    <t>Cognome</t>
  </si>
  <si>
    <t>Nome</t>
  </si>
  <si>
    <t>Num. Tessera</t>
  </si>
  <si>
    <t>Classifica</t>
  </si>
  <si>
    <t>Variato</t>
  </si>
  <si>
    <t>Vivaio</t>
  </si>
  <si>
    <t>Nazionalità</t>
  </si>
  <si>
    <t>INT            1-500</t>
  </si>
  <si>
    <t>INT                   501&gt;</t>
  </si>
  <si>
    <t>Data Nascita</t>
  </si>
  <si>
    <t>Visita Medica</t>
  </si>
  <si>
    <t xml:space="preserve">Nazionalità </t>
  </si>
  <si>
    <t>INT                  501&gt;</t>
  </si>
  <si>
    <t>TASK · Controllo tessere - Riepilogo del match</t>
  </si>
  <si>
    <t>Squadra casa - Squadra ospite</t>
  </si>
  <si>
    <t>elaborazione del DD/MM/AAAA alle HH:MM</t>
  </si>
  <si>
    <t>Foglio di riepilogo con criticità riscontrate</t>
  </si>
  <si>
    <t>Controllo</t>
  </si>
  <si>
    <t>Casa · TC RUNGG</t>
  </si>
  <si>
    <t>Ospite · CT ZAVAGLIA</t>
  </si>
  <si>
    <t>Come si legge</t>
  </si>
  <si>
    <t>Giocatori controllati</t>
  </si>
  <si>
    <t>Righe in lista (= giocatori in lista)</t>
  </si>
  <si>
    <t>✔ OK</t>
  </si>
  <si>
    <t>OK se non ci sono differenze tra SGAT, Tess e Lista</t>
  </si>
  <si>
    <t>✖ NO</t>
  </si>
  <si>
    <t>NO se i dati non cioncidono, richiede verifica</t>
  </si>
  <si>
    <t>⚠ VERIFICA</t>
  </si>
  <si>
    <t>Un dato non è stato letto: non è mai verde, va riletto</t>
  </si>
  <si>
    <t>Variati in tessera (letti)</t>
  </si>
  <si>
    <t>Valori T, N, S letti dalla tessera (la fonte che fa fede)</t>
  </si>
  <si>
    <t>Variati in lista</t>
  </si>
  <si>
    <t>Valori T, N, S scritti nel PDF della lista</t>
  </si>
  <si>
    <t>Variati NON letti in tessera</t>
  </si>
  <si>
    <t>Se &gt; 0 il conteggio non è affidabile</t>
  </si>
  <si>
    <t>Limite variati (da compilare)</t>
  </si>
  <si>
    <t>Limite da RTS per quel campionato</t>
  </si>
  <si>
    <t>Esito variati</t>
  </si>
  <si>
    <t>Controlllo riga per riga dai fogli Casa e Ospite</t>
  </si>
  <si>
    <t>Vivaio in tessera (letti)</t>
  </si>
  <si>
    <t>Vivaio in lista</t>
  </si>
  <si>
    <t>Vivaio NON letti in tessera</t>
  </si>
  <si>
    <t>ESITO GENERALE</t>
  </si>
  <si>
    <t>Verde solo se non ci sono né ✖ né ⚠</t>
  </si>
  <si>
    <t>Legenda</t>
  </si>
  <si>
    <t>—</t>
  </si>
  <si>
    <t>Verificato: il dato non c'è (es. giocatore non variato). Mai celle vuote.</t>
  </si>
  <si>
    <t>NON LETTO</t>
  </si>
  <si>
    <t>La fonte non ha dato il valore (es. pagina tessera non letta). Non è mai verde.</t>
  </si>
  <si>
    <t>Cella rossa</t>
  </si>
  <si>
    <t>Lista e tessera discordano: la cella mostra il valore della tessera e, tra parentesi, quello della lista.</t>
  </si>
  <si>
    <t>Colonne grigie (N:V)</t>
  </si>
  <si>
    <t>Dettaglio delle fonti, raggruppate e chiuse nei fogli squadra: clic sul + sopra le lettere per aprirle.</t>
  </si>
  <si>
    <t>ATP/WTA</t>
  </si>
  <si>
    <t>Le due colonne 1-500 e 501&gt; sono unite: il numero stesso dice la fascia.</t>
  </si>
  <si>
    <t>CASA · TC RUNGG - SUEDTIROL - YOGURTERIA</t>
  </si>
  <si>
    <t>Generato il 12/10/2026 12:02 · fonti: lista campionato (PDF), SGAT, tessere FITP · ESEMPIO DI LAYOUT su dati reali del foglio caricato</t>
  </si>
  <si>
    <t>Esito squadra</t>
  </si>
  <si>
    <t>Variati</t>
  </si>
  <si>
    <t>Esito</t>
  </si>
  <si>
    <t>Cognome Nome</t>
  </si>
  <si>
    <t>Tessera</t>
  </si>
  <si>
    <t>Cert. medico</t>
  </si>
  <si>
    <t>Schier.</t>
  </si>
  <si>
    <t>Note</t>
  </si>
  <si>
    <t>Link tessera</t>
  </si>
  <si>
    <t>Class. Lista</t>
  </si>
  <si>
    <t>Class. SGAT</t>
  </si>
  <si>
    <t>Class. Tess.</t>
  </si>
  <si>
    <t>Var. Lista</t>
  </si>
  <si>
    <t>Var. Tess.</t>
  </si>
  <si>
    <t>Viv. Lista</t>
  </si>
  <si>
    <t>Viv. Tess.</t>
  </si>
  <si>
    <t>Naz. Lista</t>
  </si>
  <si>
    <t>Cittad. Tess.</t>
  </si>
  <si>
    <t>WINKLER Georg</t>
  </si>
  <si>
    <t>6761518337</t>
  </si>
  <si>
    <t>3.1</t>
  </si>
  <si>
    <t>Sì</t>
  </si>
  <si>
    <t>Italia</t>
  </si>
  <si>
    <t>Valido</t>
  </si>
  <si>
    <t>16</t>
  </si>
  <si>
    <t>Tessera WINKLER</t>
  </si>
  <si>
    <t>ITALIA</t>
  </si>
  <si>
    <t>BORTOLOTTI Marco</t>
  </si>
  <si>
    <t>2292620932</t>
  </si>
  <si>
    <t>2.6</t>
  </si>
  <si>
    <t>No</t>
  </si>
  <si>
    <t>14=</t>
  </si>
  <si>
    <t>Tessera BORTOLOTTI</t>
  </si>
  <si>
    <t>TROCKER Moritz</t>
  </si>
  <si>
    <t>7431403426</t>
  </si>
  <si>
    <t>Tessera TROCKER</t>
  </si>
  <si>
    <t>CONA Mattia</t>
  </si>
  <si>
    <t>2049680767</t>
  </si>
  <si>
    <t>2.5</t>
  </si>
  <si>
    <t>13</t>
  </si>
  <si>
    <t>Tessera CONA</t>
  </si>
  <si>
    <t>BEDENE Aljaz</t>
  </si>
  <si>
    <t>6632579644</t>
  </si>
  <si>
    <t>2.4</t>
  </si>
  <si>
    <t>T</t>
  </si>
  <si>
    <t>Slovenia</t>
  </si>
  <si>
    <t>12</t>
  </si>
  <si>
    <t>Tessera BEDENE</t>
  </si>
  <si>
    <t>SLOVENIA</t>
  </si>
  <si>
    <t>FIGL Maximilian</t>
  </si>
  <si>
    <t>4635663538</t>
  </si>
  <si>
    <t>2.3</t>
  </si>
  <si>
    <t>1150</t>
  </si>
  <si>
    <t>10</t>
  </si>
  <si>
    <t>Tessera FIGL</t>
  </si>
  <si>
    <t>TOFFANIN Nicolo'</t>
  </si>
  <si>
    <t>3323883333</t>
  </si>
  <si>
    <t>1175</t>
  </si>
  <si>
    <t>11</t>
  </si>
  <si>
    <t>Tessera TOFFANIN</t>
  </si>
  <si>
    <t>EJUPOVIC Elmar</t>
  </si>
  <si>
    <t>5127605675</t>
  </si>
  <si>
    <t>2.2</t>
  </si>
  <si>
    <t>Germania</t>
  </si>
  <si>
    <t>917</t>
  </si>
  <si>
    <t>9</t>
  </si>
  <si>
    <t>Tessera EJUPOVIC</t>
  </si>
  <si>
    <t>GERMANIA</t>
  </si>
  <si>
    <t>WEIS Alexander</t>
  </si>
  <si>
    <t>3753643536</t>
  </si>
  <si>
    <t>584</t>
  </si>
  <si>
    <t>8</t>
  </si>
  <si>
    <t>Tessera WEIS</t>
  </si>
  <si>
    <t>DALLA VALLE Enrico</t>
  </si>
  <si>
    <t>6454451534</t>
  </si>
  <si>
    <t>2.1</t>
  </si>
  <si>
    <t>333</t>
  </si>
  <si>
    <t>7</t>
  </si>
  <si>
    <t>Tessera DALLA VALLE</t>
  </si>
  <si>
    <t>GEERTS Michael Lieven P.</t>
  </si>
  <si>
    <t>2356108325</t>
  </si>
  <si>
    <t>Belgio</t>
  </si>
  <si>
    <t>326</t>
  </si>
  <si>
    <t>6</t>
  </si>
  <si>
    <t>Tessera GEERTS</t>
  </si>
  <si>
    <t>BELGIO</t>
  </si>
  <si>
    <t>HOUKES Max</t>
  </si>
  <si>
    <t>7611815938</t>
  </si>
  <si>
    <t>N</t>
  </si>
  <si>
    <t>Paesi Bassi</t>
  </si>
  <si>
    <t>240</t>
  </si>
  <si>
    <t>3</t>
  </si>
  <si>
    <t>Tessera HOUKES</t>
  </si>
  <si>
    <t>PAESI BASSI</t>
  </si>
  <si>
    <t>HUESLER Marc Andrea</t>
  </si>
  <si>
    <t>7205963338</t>
  </si>
  <si>
    <t>Svizzera</t>
  </si>
  <si>
    <t>256</t>
  </si>
  <si>
    <t>4</t>
  </si>
  <si>
    <t>Tessera HUESLER</t>
  </si>
  <si>
    <t>SVIZZERA</t>
  </si>
  <si>
    <t>NAPOLITANO Stefano</t>
  </si>
  <si>
    <t>6450147128</t>
  </si>
  <si>
    <t>229</t>
  </si>
  <si>
    <t>2</t>
  </si>
  <si>
    <t>Tessera NAPOLITANO</t>
  </si>
  <si>
    <t>ETCHEVERRY Tomas Martin</t>
  </si>
  <si>
    <t>9758917237</t>
  </si>
  <si>
    <t>1.6</t>
  </si>
  <si>
    <t>32</t>
  </si>
  <si>
    <t>1</t>
  </si>
  <si>
    <t>Tessera ETCHEVERRY</t>
  </si>
  <si>
    <t>AGAMENONE Franco Gabriel</t>
  </si>
  <si>
    <t>9278438041</t>
  </si>
  <si>
    <t>1.20</t>
  </si>
  <si>
    <t>291</t>
  </si>
  <si>
    <t>5</t>
  </si>
  <si>
    <t>Tessera AGAMENONE</t>
  </si>
  <si>
    <t>OSPITE · CT ZAVAGLIA</t>
  </si>
  <si>
    <t>DURANTI Paolo</t>
  </si>
  <si>
    <t>5112313060</t>
  </si>
  <si>
    <t>3.4</t>
  </si>
  <si>
    <t>12=</t>
  </si>
  <si>
    <t>Tessera DURANTI</t>
  </si>
  <si>
    <t>MINGUZZI Alessandro</t>
  </si>
  <si>
    <t>0152374097</t>
  </si>
  <si>
    <t>T (lista —)</t>
  </si>
  <si>
    <t>var: tessera T, lista vuota</t>
  </si>
  <si>
    <t>Tessera MINGUZZI</t>
  </si>
  <si>
    <t>TERZI Dante</t>
  </si>
  <si>
    <t>8918540161</t>
  </si>
  <si>
    <t>3.3</t>
  </si>
  <si>
    <t>Tessera TERZI</t>
  </si>
  <si>
    <t>SATTA Leonardo</t>
  </si>
  <si>
    <t>5296263793</t>
  </si>
  <si>
    <t>3.2</t>
  </si>
  <si>
    <t>9=</t>
  </si>
  <si>
    <t>Tessera SATTA</t>
  </si>
  <si>
    <t>SPARAGI Federico</t>
  </si>
  <si>
    <t>3597453036</t>
  </si>
  <si>
    <t>Tessera SPARAGI</t>
  </si>
  <si>
    <t>MALDINI Nicolo'</t>
  </si>
  <si>
    <t>2971244147</t>
  </si>
  <si>
    <t>Tessera MALDINI</t>
  </si>
  <si>
    <t>SATTA Niccolò</t>
  </si>
  <si>
    <t>0945920870</t>
  </si>
  <si>
    <t>VIRGILI Adelchi</t>
  </si>
  <si>
    <t>6134182833</t>
  </si>
  <si>
    <t>Tessera VIRGILI</t>
  </si>
  <si>
    <t>VALLETTA Luigi</t>
  </si>
  <si>
    <t>8516054837</t>
  </si>
  <si>
    <t>2003</t>
  </si>
  <si>
    <t>Tessera VALLETTA</t>
  </si>
  <si>
    <t>Ok</t>
  </si>
  <si>
    <t>FELLIN Pietro Orlando</t>
  </si>
  <si>
    <t>0665952541</t>
  </si>
  <si>
    <t>Lista 2.2 · Tess NON LETTO</t>
  </si>
  <si>
    <t>588</t>
  </si>
  <si>
    <t>tessera non letta: classifica, naz., var., viv., cert. medico - rileggere</t>
  </si>
  <si>
    <t>Tessera FELLIN</t>
  </si>
  <si>
    <t>N/D</t>
  </si>
  <si>
    <t>BAGNOLINI Daniel</t>
  </si>
  <si>
    <t>2213126219</t>
  </si>
  <si>
    <t>1699</t>
  </si>
  <si>
    <t>Tessera BAGNOLINI</t>
  </si>
  <si>
    <t>CANIATO Carlo Alberto</t>
  </si>
  <si>
    <t>4322441121</t>
  </si>
  <si>
    <t>480</t>
  </si>
  <si>
    <t>Tessera CANIATO</t>
  </si>
  <si>
    <t>FATIC Nerman</t>
  </si>
  <si>
    <t>0000000913</t>
  </si>
  <si>
    <t>Bosnia-Erzegovina</t>
  </si>
  <si>
    <t>439</t>
  </si>
  <si>
    <t>Tessera FATIC</t>
  </si>
  <si>
    <t>BOSNIA-ERZEGOVINA</t>
  </si>
  <si>
    <t>OK</t>
  </si>
  <si>
    <t>VERIFICA</t>
  </si>
  <si>
    <t>NO</t>
  </si>
  <si>
    <t>Sanzionato</t>
  </si>
  <si>
    <t>Abilitato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</si>
</sst>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595959"/>
      <name val="Arial"/>
      <family val="2"/>
    </font>
    <font>
      <b/>
      <sz val="10"/>
      <color rgb="FF9C0006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9"/>
      <color rgb="FF9C0006"/>
      <name val="Arial"/>
      <family val="2"/>
    </font>
    <font>
      <b/>
      <sz val="11"/>
      <name val="Arial"/>
      <family val="2"/>
    </font>
    <font>
      <b/>
      <sz val="10"/>
      <color rgb="FF006100"/>
      <name val="Arial"/>
      <family val="2"/>
    </font>
    <font>
      <u/>
      <sz val="10"/>
      <color rgb="FF0563C1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6EFCE"/>
      </patternFill>
    </fill>
    <fill>
      <patternFill patternType="solid">
        <fgColor theme="0" tint="-0.14999847407452621"/>
        <bgColor rgb="FFADD8E6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horizontal="center" wrapText="1"/>
    </xf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1" applyAlignment="1">
      <alignment horizontal="left"/>
    </xf>
    <xf numFmtId="0" fontId="14" fillId="0" borderId="0" xfId="1" applyAlignment="1">
      <alignment horizontal="center"/>
    </xf>
    <xf numFmtId="0" fontId="14" fillId="0" borderId="2" xfId="1" applyBorder="1" applyAlignment="1">
      <alignment horizontal="center"/>
    </xf>
    <xf numFmtId="0" fontId="14" fillId="0" borderId="2" xfId="1" applyBorder="1" applyAlignment="1">
      <alignment horizontal="left"/>
    </xf>
    <xf numFmtId="49" fontId="14" fillId="0" borderId="2" xfId="1" applyNumberFormat="1" applyBorder="1" applyAlignment="1">
      <alignment horizontal="center"/>
    </xf>
    <xf numFmtId="0" fontId="15" fillId="5" borderId="2" xfId="1" applyFont="1" applyFill="1" applyBorder="1" applyAlignment="1">
      <alignment horizontal="center" vertical="center"/>
    </xf>
    <xf numFmtId="0" fontId="14" fillId="6" borderId="2" xfId="1" applyFill="1" applyBorder="1" applyAlignment="1">
      <alignment horizontal="center"/>
    </xf>
    <xf numFmtId="0" fontId="16" fillId="0" borderId="3" xfId="1" applyFont="1" applyBorder="1" applyAlignment="1">
      <alignment horizontal="center" vertical="center"/>
    </xf>
    <xf numFmtId="49" fontId="14" fillId="0" borderId="0" xfId="1" applyNumberFormat="1" applyAlignment="1">
      <alignment horizontal="center"/>
    </xf>
    <xf numFmtId="0" fontId="14" fillId="0" borderId="0" xfId="1" applyAlignment="1">
      <alignment horizontal="center" wrapText="1"/>
    </xf>
    <xf numFmtId="0" fontId="15" fillId="5" borderId="2" xfId="1" applyFont="1" applyFill="1" applyBorder="1" applyAlignment="1">
      <alignment horizontal="center" vertical="center" wrapText="1"/>
    </xf>
    <xf numFmtId="0" fontId="17" fillId="5" borderId="2" xfId="1" applyFont="1" applyFill="1" applyBorder="1" applyAlignment="1">
      <alignment horizontal="center" vertical="center" wrapText="1"/>
    </xf>
    <xf numFmtId="0" fontId="14" fillId="6" borderId="2" xfId="1" applyFill="1" applyBorder="1" applyAlignment="1">
      <alignment horizontal="center" wrapText="1"/>
    </xf>
    <xf numFmtId="0" fontId="16" fillId="0" borderId="4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4" fillId="0" borderId="6" xfId="1" applyBorder="1" applyAlignment="1">
      <alignment horizontal="left"/>
    </xf>
    <xf numFmtId="0" fontId="16" fillId="0" borderId="0" xfId="1" applyFont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5" fillId="5" borderId="8" xfId="1" applyFont="1" applyFill="1" applyBorder="1" applyAlignment="1">
      <alignment horizontal="center" vertical="center" wrapText="1"/>
    </xf>
    <xf numFmtId="0" fontId="14" fillId="0" borderId="9" xfId="1" applyBorder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0" fillId="0" borderId="3" xfId="0" applyBorder="1"/>
    <xf numFmtId="0" fontId="14" fillId="0" borderId="2" xfId="1" applyFill="1" applyBorder="1" applyAlignment="1">
      <alignment horizontal="left"/>
    </xf>
  </cellXfs>
  <cellStyles count="2">
    <cellStyle name="Normale" xfId="0" builtinId="0"/>
    <cellStyle name="Normale 2" xfId="1" xr:uid="{00000000-0005-0000-0000-000001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9" tint="0.39994506668294322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9" tint="0.39994506668294322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9" tint="0.39994506668294322"/>
        </patternFill>
      </fill>
    </dxf>
    <dxf>
      <font>
        <strike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theme="9"/>
      </font>
      <fill>
        <patternFill>
          <fgColor auto="1"/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nagement.federtennis.it/vt?k=5127605675&amp;y=CT" TargetMode="External"/><Relationship Id="rId13" Type="http://schemas.openxmlformats.org/officeDocument/2006/relationships/hyperlink" Target="https://management.federtennis.it/vt?k=7205963338&amp;y=CT" TargetMode="External"/><Relationship Id="rId3" Type="http://schemas.openxmlformats.org/officeDocument/2006/relationships/hyperlink" Target="https://management.federtennis.it/vt?k=7431403426&amp;y=CT" TargetMode="External"/><Relationship Id="rId7" Type="http://schemas.openxmlformats.org/officeDocument/2006/relationships/hyperlink" Target="https://management.federtennis.it/vt?k=3323883333&amp;y=CT" TargetMode="External"/><Relationship Id="rId12" Type="http://schemas.openxmlformats.org/officeDocument/2006/relationships/hyperlink" Target="https://management.federtennis.it/vt?k=7611815938&amp;y=CT" TargetMode="External"/><Relationship Id="rId2" Type="http://schemas.openxmlformats.org/officeDocument/2006/relationships/hyperlink" Target="https://management.federtennis.it/vt?k=2292620932&amp;y=CT" TargetMode="External"/><Relationship Id="rId16" Type="http://schemas.openxmlformats.org/officeDocument/2006/relationships/hyperlink" Target="https://management.federtennis.it/vt?k=9278438041&amp;y=CT" TargetMode="External"/><Relationship Id="rId1" Type="http://schemas.openxmlformats.org/officeDocument/2006/relationships/hyperlink" Target="https://management.federtennis.it/vt?k=6761518337&amp;y=CT" TargetMode="External"/><Relationship Id="rId6" Type="http://schemas.openxmlformats.org/officeDocument/2006/relationships/hyperlink" Target="https://management.federtennis.it/vt?k=4635663538&amp;y=CT" TargetMode="External"/><Relationship Id="rId11" Type="http://schemas.openxmlformats.org/officeDocument/2006/relationships/hyperlink" Target="https://management.federtennis.it/vt?k=2356108325&amp;y=CT" TargetMode="External"/><Relationship Id="rId5" Type="http://schemas.openxmlformats.org/officeDocument/2006/relationships/hyperlink" Target="https://management.federtennis.it/vt?k=6632579644&amp;y=CT" TargetMode="External"/><Relationship Id="rId15" Type="http://schemas.openxmlformats.org/officeDocument/2006/relationships/hyperlink" Target="https://management.federtennis.it/vt?k=9758917237&amp;y=CT" TargetMode="External"/><Relationship Id="rId10" Type="http://schemas.openxmlformats.org/officeDocument/2006/relationships/hyperlink" Target="https://management.federtennis.it/vt?k=6454451534&amp;y=CT" TargetMode="External"/><Relationship Id="rId4" Type="http://schemas.openxmlformats.org/officeDocument/2006/relationships/hyperlink" Target="https://management.federtennis.it/vt?k=2049680767&amp;y=CT" TargetMode="External"/><Relationship Id="rId9" Type="http://schemas.openxmlformats.org/officeDocument/2006/relationships/hyperlink" Target="https://management.federtennis.it/vt?k=3753643536&amp;y=CT" TargetMode="External"/><Relationship Id="rId14" Type="http://schemas.openxmlformats.org/officeDocument/2006/relationships/hyperlink" Target="https://management.federtennis.it/vt?k=6450147128&amp;y=C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nagement.federtennis.it/vt?k=6134182833&amp;y=CT" TargetMode="External"/><Relationship Id="rId13" Type="http://schemas.openxmlformats.org/officeDocument/2006/relationships/hyperlink" Target="https://management.federtennis.it/vt?k=0000000913&amp;y=CT" TargetMode="External"/><Relationship Id="rId3" Type="http://schemas.openxmlformats.org/officeDocument/2006/relationships/hyperlink" Target="https://management.federtennis.it/vt?k=8918540161&amp;y=CT" TargetMode="External"/><Relationship Id="rId7" Type="http://schemas.openxmlformats.org/officeDocument/2006/relationships/hyperlink" Target="https://management.federtennis.it/vt?k=0945920870&amp;y=CT" TargetMode="External"/><Relationship Id="rId12" Type="http://schemas.openxmlformats.org/officeDocument/2006/relationships/hyperlink" Target="https://management.federtennis.it/vt?k=4322441121&amp;y=CT" TargetMode="External"/><Relationship Id="rId2" Type="http://schemas.openxmlformats.org/officeDocument/2006/relationships/hyperlink" Target="https://management.federtennis.it/vt?k=0152374097&amp;y=CT" TargetMode="External"/><Relationship Id="rId1" Type="http://schemas.openxmlformats.org/officeDocument/2006/relationships/hyperlink" Target="https://management.federtennis.it/vt?k=5112313060&amp;y=CT" TargetMode="External"/><Relationship Id="rId6" Type="http://schemas.openxmlformats.org/officeDocument/2006/relationships/hyperlink" Target="https://management.federtennis.it/vt?k=2971244147&amp;y=CT" TargetMode="External"/><Relationship Id="rId11" Type="http://schemas.openxmlformats.org/officeDocument/2006/relationships/hyperlink" Target="https://management.federtennis.it/vt?k=2213126219&amp;y=CT" TargetMode="External"/><Relationship Id="rId5" Type="http://schemas.openxmlformats.org/officeDocument/2006/relationships/hyperlink" Target="https://management.federtennis.it/vt?k=3597453036&amp;y=CT" TargetMode="External"/><Relationship Id="rId10" Type="http://schemas.openxmlformats.org/officeDocument/2006/relationships/hyperlink" Target="https://management.federtennis.it/vt?k=0665952541&amp;y=CT" TargetMode="External"/><Relationship Id="rId4" Type="http://schemas.openxmlformats.org/officeDocument/2006/relationships/hyperlink" Target="https://management.federtennis.it/vt?k=5296263793&amp;y=CT" TargetMode="External"/><Relationship Id="rId9" Type="http://schemas.openxmlformats.org/officeDocument/2006/relationships/hyperlink" Target="https://management.federtennis.it/vt?k=8516054837&amp;y=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"/>
  <sheetViews>
    <sheetView showGridLines="0" zoomScale="157" zoomScaleNormal="100" workbookViewId="0">
      <selection activeCell="B30" sqref="B30"/>
    </sheetView>
  </sheetViews>
  <sheetFormatPr baseColWidth="10" defaultColWidth="8.6640625" defaultRowHeight="15" x14ac:dyDescent="0.2"/>
  <cols>
    <col min="1" max="1" width="34" customWidth="1"/>
    <col min="2" max="3" width="24" customWidth="1"/>
    <col min="4" max="4" width="70" customWidth="1"/>
  </cols>
  <sheetData>
    <row r="1" spans="1:4" ht="18" customHeight="1" x14ac:dyDescent="0.2">
      <c r="A1" s="1" t="s">
        <v>17</v>
      </c>
    </row>
    <row r="2" spans="1:4" x14ac:dyDescent="0.2">
      <c r="A2" s="2" t="s">
        <v>18</v>
      </c>
      <c r="B2" s="2" t="s">
        <v>19</v>
      </c>
    </row>
    <row r="3" spans="1:4" x14ac:dyDescent="0.2">
      <c r="A3" s="3" t="s">
        <v>20</v>
      </c>
    </row>
    <row r="5" spans="1:4" x14ac:dyDescent="0.2">
      <c r="A5" s="4" t="s">
        <v>21</v>
      </c>
      <c r="B5" s="4" t="s">
        <v>22</v>
      </c>
      <c r="C5" s="4" t="s">
        <v>23</v>
      </c>
      <c r="D5" s="4" t="s">
        <v>24</v>
      </c>
    </row>
    <row r="6" spans="1:4" x14ac:dyDescent="0.2">
      <c r="A6" s="5" t="s">
        <v>25</v>
      </c>
      <c r="B6" s="6">
        <f>COUNTA(Casa!$B$9:$B$24)</f>
        <v>16</v>
      </c>
      <c r="C6" s="6">
        <f>COUNTA(Ospite!$B$9:$B$21)</f>
        <v>13</v>
      </c>
      <c r="D6" s="2" t="s">
        <v>26</v>
      </c>
    </row>
    <row r="7" spans="1:4" x14ac:dyDescent="0.2">
      <c r="A7" s="5" t="s">
        <v>27</v>
      </c>
      <c r="B7" s="6">
        <f>COUNTIF(Casa!$A$9:$A$24,"✔ OK")</f>
        <v>13</v>
      </c>
      <c r="C7" s="6">
        <f>COUNTIF(Ospite!$A$9:$A$21,"✔ OK")</f>
        <v>10</v>
      </c>
      <c r="D7" s="2" t="s">
        <v>28</v>
      </c>
    </row>
    <row r="8" spans="1:4" x14ac:dyDescent="0.2">
      <c r="A8" s="5" t="s">
        <v>29</v>
      </c>
      <c r="B8" s="6">
        <f>COUNTIF(Casa!$A$9:$A$24,"✖ NO")</f>
        <v>0</v>
      </c>
      <c r="C8" s="6">
        <f>COUNTIF(Ospite!$A$9:$A$21,"✖ NO")</f>
        <v>0</v>
      </c>
      <c r="D8" s="2" t="s">
        <v>30</v>
      </c>
    </row>
    <row r="9" spans="1:4" x14ac:dyDescent="0.2">
      <c r="A9" s="5" t="s">
        <v>31</v>
      </c>
      <c r="B9" s="6">
        <f>COUNTIF(Casa!$A$9:$A$24,"⚠ VERIFICA")</f>
        <v>0</v>
      </c>
      <c r="C9" s="6">
        <f>COUNTIF(Ospite!$A$9:$A$21,"⚠ VERIFICA")</f>
        <v>0</v>
      </c>
      <c r="D9" s="2" t="s">
        <v>32</v>
      </c>
    </row>
    <row r="10" spans="1:4" x14ac:dyDescent="0.2">
      <c r="A10" s="5" t="s">
        <v>33</v>
      </c>
      <c r="B10" s="6">
        <f>COUNTIF(Casa!$R$9:$R$24,"T")+COUNTIF(Casa!$R$9:$R$24,"N")+COUNTIF(Casa!$R$9:$R$24,"S")</f>
        <v>3</v>
      </c>
      <c r="C10" s="6">
        <f>COUNTIF(Ospite!$R$9:$R$21,"T")+COUNTIF(Ospite!$R$9:$R$21,"N")+COUNTIF(Ospite!$R$9:$R$21,"S")</f>
        <v>3</v>
      </c>
      <c r="D10" s="2" t="s">
        <v>34</v>
      </c>
    </row>
    <row r="11" spans="1:4" x14ac:dyDescent="0.2">
      <c r="A11" s="5" t="s">
        <v>35</v>
      </c>
      <c r="B11" s="6">
        <f>COUNTIF(Casa!$Q$9:$Q$24,"T")+COUNTIF(Casa!$Q$9:$Q$24,"N")+COUNTIF(Casa!$Q$9:$Q$24,"S")</f>
        <v>3</v>
      </c>
      <c r="C11" s="6">
        <f>COUNTIF(Ospite!$Q$9:$Q$21,"T")+COUNTIF(Ospite!$Q$9:$Q$21,"N")+COUNTIF(Ospite!$Q$9:$Q$21,"S")</f>
        <v>3</v>
      </c>
      <c r="D11" s="2" t="s">
        <v>36</v>
      </c>
    </row>
    <row r="12" spans="1:4" x14ac:dyDescent="0.2">
      <c r="A12" s="5" t="s">
        <v>37</v>
      </c>
      <c r="B12" s="6">
        <f>COUNTIF(Casa!$R$9:$R$24,"NON LETTO")</f>
        <v>0</v>
      </c>
      <c r="C12" s="6">
        <f>COUNTIF(Ospite!$R$9:$R$21,"NON LETTO")</f>
        <v>0</v>
      </c>
      <c r="D12" s="2" t="s">
        <v>38</v>
      </c>
    </row>
    <row r="13" spans="1:4" ht="30" customHeight="1" x14ac:dyDescent="0.2">
      <c r="A13" s="5" t="s">
        <v>39</v>
      </c>
      <c r="B13" s="44">
        <v>2</v>
      </c>
      <c r="C13" s="44">
        <v>2</v>
      </c>
      <c r="D13" s="7" t="s">
        <v>40</v>
      </c>
    </row>
    <row r="14" spans="1:4" ht="29" customHeight="1" x14ac:dyDescent="0.2">
      <c r="A14" s="5" t="s">
        <v>41</v>
      </c>
      <c r="B14" s="43" t="str">
        <f>IF(OR(B10&lt;&gt;B11,B12&gt;0),"✖ tessera e lista non coincidono",IF(B13="","limite non impostato",IF(B11&gt;B13,"✖ oltre il limite attento alla formazione","✔ nei limiti")))</f>
        <v>✖ oltre il limite attento alla formazione</v>
      </c>
      <c r="C14" s="8" t="str">
        <f>IF(OR(C10&lt;&gt;C11,C12&gt;0),"✖ tessera e lista non coincidono",IF(C13="","limite non impostato",IF(C11&gt;C13,"✖ oltre il limite, attento alla formazione","✔ nei limiti")))</f>
        <v>✖ oltre il limite, attento alla formazione</v>
      </c>
      <c r="D14" s="2" t="s">
        <v>42</v>
      </c>
    </row>
    <row r="16" spans="1:4" x14ac:dyDescent="0.2">
      <c r="A16" s="5" t="s">
        <v>43</v>
      </c>
      <c r="B16" s="6">
        <f>COUNTIF(Casa!$T$9:$T$24,"Sì")</f>
        <v>6</v>
      </c>
      <c r="C16" s="6">
        <f>COUNTIF(Ospite!$T$9:$T$21,"Sì")</f>
        <v>8</v>
      </c>
    </row>
    <row r="17" spans="1:4" x14ac:dyDescent="0.2">
      <c r="A17" s="5" t="s">
        <v>44</v>
      </c>
      <c r="B17" s="6">
        <f>COUNTIF(Casa!$S$9:$S$24,"Sì")</f>
        <v>6</v>
      </c>
      <c r="C17" s="6">
        <f>COUNTIF(Ospite!$S$9:$S$21,"Sì")</f>
        <v>8</v>
      </c>
    </row>
    <row r="18" spans="1:4" x14ac:dyDescent="0.2">
      <c r="A18" s="5" t="s">
        <v>45</v>
      </c>
      <c r="B18" s="6">
        <f>COUNTIF(Casa!$T$9:$T$24,"NON LETTO")</f>
        <v>0</v>
      </c>
      <c r="C18" s="6">
        <f>COUNTIF(Ospite!$T$9:$T$21,"NON LETTO")</f>
        <v>0</v>
      </c>
    </row>
    <row r="20" spans="1:4" ht="30" customHeight="1" x14ac:dyDescent="0.2">
      <c r="A20" s="9" t="s">
        <v>46</v>
      </c>
      <c r="B20" s="10" t="str">
        <f>IF(AND(B8=0,B9=0),"✔ nessuna discrepanza","✖ "&amp;(B8+B9)&amp;" righe da controllare")</f>
        <v>✔ nessuna discrepanza</v>
      </c>
      <c r="C20" s="10" t="str">
        <f>IF(AND(C8=0,C9=0),"✔ nessuna discrepanza","✖ "&amp;(C8+C9)&amp;" righe da controllare")</f>
        <v>✔ nessuna discrepanza</v>
      </c>
      <c r="D20" s="2" t="s">
        <v>47</v>
      </c>
    </row>
    <row r="22" spans="1:4" x14ac:dyDescent="0.2">
      <c r="A22" s="5" t="s">
        <v>48</v>
      </c>
    </row>
    <row r="23" spans="1:4" x14ac:dyDescent="0.2">
      <c r="A23" s="5" t="s">
        <v>49</v>
      </c>
      <c r="B23" s="11" t="s">
        <v>50</v>
      </c>
    </row>
    <row r="24" spans="1:4" x14ac:dyDescent="0.2">
      <c r="A24" s="5" t="s">
        <v>51</v>
      </c>
      <c r="B24" s="11" t="s">
        <v>52</v>
      </c>
    </row>
    <row r="25" spans="1:4" x14ac:dyDescent="0.2">
      <c r="A25" s="5" t="s">
        <v>53</v>
      </c>
      <c r="B25" s="11" t="s">
        <v>54</v>
      </c>
    </row>
    <row r="26" spans="1:4" x14ac:dyDescent="0.2">
      <c r="A26" s="5" t="s">
        <v>55</v>
      </c>
      <c r="B26" s="11" t="s">
        <v>56</v>
      </c>
    </row>
    <row r="27" spans="1:4" x14ac:dyDescent="0.2">
      <c r="A27" s="5" t="s">
        <v>57</v>
      </c>
      <c r="B27" s="11" t="s">
        <v>58</v>
      </c>
    </row>
  </sheetData>
  <conditionalFormatting sqref="B13:C13">
    <cfRule type="expression" dxfId="31" priority="2">
      <formula>LEFT(B13,1)="✔"</formula>
    </cfRule>
    <cfRule type="expression" dxfId="30" priority="3">
      <formula>LEFT(B13,1)="✖"</formula>
    </cfRule>
  </conditionalFormatting>
  <conditionalFormatting sqref="B20:C20">
    <cfRule type="expression" dxfId="29" priority="4">
      <formula>LEFT(B20,1)="✔"</formula>
    </cfRule>
    <cfRule type="expression" dxfId="28" priority="5">
      <formula>LEFT(B20,1)="✖"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4"/>
  <sheetViews>
    <sheetView showGridLines="0" zoomScaleNormal="100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A9" sqref="A9:A24"/>
    </sheetView>
  </sheetViews>
  <sheetFormatPr baseColWidth="10" defaultColWidth="8.6640625" defaultRowHeight="15" outlineLevelCol="1" x14ac:dyDescent="0.2"/>
  <cols>
    <col min="1" max="1" width="14" customWidth="1"/>
    <col min="2" max="2" width="5" customWidth="1"/>
    <col min="3" max="3" width="31.83203125" customWidth="1"/>
    <col min="4" max="4" width="13" customWidth="1"/>
    <col min="5" max="5" width="27" customWidth="1"/>
    <col min="6" max="6" width="16" customWidth="1"/>
    <col min="7" max="7" width="14" customWidth="1"/>
    <col min="8" max="8" width="18" customWidth="1"/>
    <col min="9" max="9" width="13" customWidth="1"/>
    <col min="10" max="10" width="10" customWidth="1"/>
    <col min="11" max="11" width="8" customWidth="1"/>
    <col min="12" max="12" width="44" customWidth="1"/>
    <col min="13" max="13" width="18" customWidth="1"/>
    <col min="14" max="22" width="11" hidden="1" customWidth="1" outlineLevel="1"/>
    <col min="23" max="23" width="8.6640625" customWidth="1" collapsed="1"/>
  </cols>
  <sheetData>
    <row r="1" spans="1:22" ht="18" customHeight="1" x14ac:dyDescent="0.2">
      <c r="A1" s="1" t="s">
        <v>59</v>
      </c>
    </row>
    <row r="2" spans="1:22" x14ac:dyDescent="0.2">
      <c r="A2" s="2" t="s">
        <v>60</v>
      </c>
    </row>
    <row r="4" spans="1:22" x14ac:dyDescent="0.2">
      <c r="A4" s="5" t="s">
        <v>61</v>
      </c>
      <c r="B4" s="11" t="str">
        <f>COUNTIF($A$9:$A$24,"✔ OK")&amp;" ✔ OK  ·  "&amp;COUNTIF($A$9:$A$24,"✖ NO")&amp;" ✖ NO  ·  "&amp;COUNTIF($A$9:$A$24,"⚠ VERIFICA")&amp;" ⚠ da verificare"</f>
        <v>13 ✔ OK  ·  0 ✖ NO  ·  0 ⚠ da verificare</v>
      </c>
    </row>
    <row r="5" spans="1:22" x14ac:dyDescent="0.2">
      <c r="A5" s="5" t="s">
        <v>62</v>
      </c>
      <c r="B5" s="11" t="str">
        <f>"tessera "&amp;(COUNTIF($R$9:$R$24,"T")+COUNTIF($R$9:$R$24,"N")+COUNTIF($R$9:$R$24,"S"))&amp;"  ·  lista "&amp;(COUNTIF($Q$9:$Q$24,"T")+COUNTIF($Q$9:$Q$24,"N")+COUNTIF($Q$9:$Q$24,"S"))&amp;"  ·  non letti in tessera "&amp;COUNTIF($R$9:$R$24,"NON LETTO")</f>
        <v>tessera 3  ·  lista 3  ·  non letti in tessera 0</v>
      </c>
    </row>
    <row r="6" spans="1:22" x14ac:dyDescent="0.2">
      <c r="A6" s="5" t="s">
        <v>9</v>
      </c>
      <c r="B6" s="11" t="str">
        <f>"tessera "&amp;COUNTIF($T$9:$T$24,"Sì")&amp;"  ·  lista "&amp;COUNTIF($S$9:$S$24,"Sì")&amp;"  ·  non letti in tessera "&amp;COUNTIF($T$9:$T$24,"NON LETTO")</f>
        <v>tessera 6  ·  lista 6  ·  non letti in tessera 0</v>
      </c>
    </row>
    <row r="8" spans="1:22" ht="27.75" customHeight="1" x14ac:dyDescent="0.2">
      <c r="A8" s="12" t="s">
        <v>63</v>
      </c>
      <c r="B8" s="12" t="s">
        <v>3</v>
      </c>
      <c r="C8" s="12" t="s">
        <v>64</v>
      </c>
      <c r="D8" s="12" t="s">
        <v>65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66</v>
      </c>
      <c r="J8" s="12" t="s">
        <v>57</v>
      </c>
      <c r="K8" s="12" t="s">
        <v>67</v>
      </c>
      <c r="L8" s="12" t="s">
        <v>68</v>
      </c>
      <c r="M8" s="12" t="s">
        <v>69</v>
      </c>
      <c r="N8" s="13" t="s">
        <v>70</v>
      </c>
      <c r="O8" s="13" t="s">
        <v>71</v>
      </c>
      <c r="P8" s="13" t="s">
        <v>72</v>
      </c>
      <c r="Q8" s="13" t="s">
        <v>73</v>
      </c>
      <c r="R8" s="13" t="s">
        <v>74</v>
      </c>
      <c r="S8" s="13" t="s">
        <v>75</v>
      </c>
      <c r="T8" s="13" t="s">
        <v>76</v>
      </c>
      <c r="U8" s="13" t="s">
        <v>77</v>
      </c>
      <c r="V8" s="13" t="s">
        <v>78</v>
      </c>
    </row>
    <row r="9" spans="1:22" x14ac:dyDescent="0.2">
      <c r="A9" s="47" t="s">
        <v>236</v>
      </c>
      <c r="B9" s="14">
        <v>1</v>
      </c>
      <c r="C9" s="15" t="s">
        <v>79</v>
      </c>
      <c r="D9" s="16" t="s">
        <v>80</v>
      </c>
      <c r="E9" s="17" t="s">
        <v>81</v>
      </c>
      <c r="F9" s="14" t="s">
        <v>49</v>
      </c>
      <c r="G9" s="14" t="s">
        <v>82</v>
      </c>
      <c r="H9" s="14" t="s">
        <v>83</v>
      </c>
      <c r="I9" s="14" t="s">
        <v>84</v>
      </c>
      <c r="J9" s="14" t="s">
        <v>49</v>
      </c>
      <c r="K9" s="14" t="s">
        <v>85</v>
      </c>
      <c r="L9" s="18"/>
      <c r="M9" s="19" t="s">
        <v>86</v>
      </c>
      <c r="N9" s="14" t="s">
        <v>81</v>
      </c>
      <c r="O9" s="14" t="s">
        <v>81</v>
      </c>
      <c r="P9" s="14" t="s">
        <v>81</v>
      </c>
      <c r="Q9" s="14" t="s">
        <v>49</v>
      </c>
      <c r="R9" s="14" t="s">
        <v>49</v>
      </c>
      <c r="S9" s="14" t="s">
        <v>82</v>
      </c>
      <c r="T9" s="14" t="s">
        <v>82</v>
      </c>
      <c r="U9" s="14" t="s">
        <v>87</v>
      </c>
      <c r="V9" s="14" t="s">
        <v>83</v>
      </c>
    </row>
    <row r="10" spans="1:22" x14ac:dyDescent="0.2">
      <c r="A10" s="47" t="s">
        <v>237</v>
      </c>
      <c r="B10" s="14">
        <v>2</v>
      </c>
      <c r="C10" s="15" t="s">
        <v>88</v>
      </c>
      <c r="D10" s="16" t="s">
        <v>89</v>
      </c>
      <c r="E10" s="17" t="s">
        <v>90</v>
      </c>
      <c r="F10" s="14" t="s">
        <v>49</v>
      </c>
      <c r="G10" s="14" t="s">
        <v>91</v>
      </c>
      <c r="H10" s="14" t="s">
        <v>83</v>
      </c>
      <c r="I10" s="14" t="s">
        <v>84</v>
      </c>
      <c r="J10" s="14" t="s">
        <v>49</v>
      </c>
      <c r="K10" s="14" t="s">
        <v>92</v>
      </c>
      <c r="L10" s="18"/>
      <c r="M10" s="19" t="s">
        <v>93</v>
      </c>
      <c r="N10" s="14" t="s">
        <v>90</v>
      </c>
      <c r="O10" s="14" t="s">
        <v>90</v>
      </c>
      <c r="P10" s="14" t="s">
        <v>90</v>
      </c>
      <c r="Q10" s="14" t="s">
        <v>49</v>
      </c>
      <c r="R10" s="14" t="s">
        <v>49</v>
      </c>
      <c r="S10" s="14" t="s">
        <v>49</v>
      </c>
      <c r="T10" s="14" t="s">
        <v>91</v>
      </c>
      <c r="U10" s="14" t="s">
        <v>87</v>
      </c>
      <c r="V10" s="14" t="s">
        <v>83</v>
      </c>
    </row>
    <row r="11" spans="1:22" x14ac:dyDescent="0.2">
      <c r="A11" s="47" t="s">
        <v>238</v>
      </c>
      <c r="B11" s="14">
        <v>3</v>
      </c>
      <c r="C11" s="15" t="s">
        <v>94</v>
      </c>
      <c r="D11" s="16" t="s">
        <v>95</v>
      </c>
      <c r="E11" s="17" t="s">
        <v>90</v>
      </c>
      <c r="F11" s="14" t="s">
        <v>49</v>
      </c>
      <c r="G11" s="14" t="s">
        <v>82</v>
      </c>
      <c r="H11" s="14" t="s">
        <v>83</v>
      </c>
      <c r="I11" s="14" t="s">
        <v>84</v>
      </c>
      <c r="J11" s="14" t="s">
        <v>49</v>
      </c>
      <c r="K11" s="14" t="s">
        <v>92</v>
      </c>
      <c r="L11" s="18"/>
      <c r="M11" s="19" t="s">
        <v>96</v>
      </c>
      <c r="N11" s="14" t="s">
        <v>90</v>
      </c>
      <c r="O11" s="14" t="s">
        <v>90</v>
      </c>
      <c r="P11" s="14" t="s">
        <v>90</v>
      </c>
      <c r="Q11" s="14" t="s">
        <v>49</v>
      </c>
      <c r="R11" s="14" t="s">
        <v>49</v>
      </c>
      <c r="S11" s="14" t="s">
        <v>82</v>
      </c>
      <c r="T11" s="14" t="s">
        <v>82</v>
      </c>
      <c r="U11" s="14" t="s">
        <v>87</v>
      </c>
      <c r="V11" s="14" t="s">
        <v>83</v>
      </c>
    </row>
    <row r="12" spans="1:22" x14ac:dyDescent="0.2">
      <c r="A12" s="47" t="s">
        <v>27</v>
      </c>
      <c r="B12" s="14">
        <v>4</v>
      </c>
      <c r="C12" s="15" t="s">
        <v>97</v>
      </c>
      <c r="D12" s="16" t="s">
        <v>98</v>
      </c>
      <c r="E12" s="17" t="s">
        <v>99</v>
      </c>
      <c r="F12" s="14" t="s">
        <v>49</v>
      </c>
      <c r="G12" s="14" t="s">
        <v>82</v>
      </c>
      <c r="H12" s="14" t="s">
        <v>83</v>
      </c>
      <c r="I12" s="14" t="s">
        <v>84</v>
      </c>
      <c r="J12" s="14" t="s">
        <v>49</v>
      </c>
      <c r="K12" s="14" t="s">
        <v>100</v>
      </c>
      <c r="L12" s="18"/>
      <c r="M12" s="19" t="s">
        <v>101</v>
      </c>
      <c r="N12" s="14" t="s">
        <v>99</v>
      </c>
      <c r="O12" s="14" t="s">
        <v>99</v>
      </c>
      <c r="P12" s="14" t="s">
        <v>99</v>
      </c>
      <c r="Q12" s="14" t="s">
        <v>49</v>
      </c>
      <c r="R12" s="14" t="s">
        <v>49</v>
      </c>
      <c r="S12" s="14" t="s">
        <v>82</v>
      </c>
      <c r="T12" s="14" t="s">
        <v>82</v>
      </c>
      <c r="U12" s="14" t="s">
        <v>87</v>
      </c>
      <c r="V12" s="14" t="s">
        <v>83</v>
      </c>
    </row>
    <row r="13" spans="1:22" x14ac:dyDescent="0.2">
      <c r="A13" s="47" t="s">
        <v>27</v>
      </c>
      <c r="B13" s="14">
        <v>5</v>
      </c>
      <c r="C13" s="15" t="s">
        <v>102</v>
      </c>
      <c r="D13" s="16" t="s">
        <v>103</v>
      </c>
      <c r="E13" s="17" t="s">
        <v>104</v>
      </c>
      <c r="F13" s="14" t="s">
        <v>105</v>
      </c>
      <c r="G13" s="14" t="s">
        <v>91</v>
      </c>
      <c r="H13" s="14" t="s">
        <v>106</v>
      </c>
      <c r="I13" s="14" t="s">
        <v>84</v>
      </c>
      <c r="J13" s="14" t="s">
        <v>49</v>
      </c>
      <c r="K13" s="14" t="s">
        <v>107</v>
      </c>
      <c r="L13" s="18"/>
      <c r="M13" s="19" t="s">
        <v>108</v>
      </c>
      <c r="N13" s="14" t="s">
        <v>104</v>
      </c>
      <c r="O13" s="14" t="s">
        <v>104</v>
      </c>
      <c r="P13" s="14" t="s">
        <v>104</v>
      </c>
      <c r="Q13" s="14" t="s">
        <v>105</v>
      </c>
      <c r="R13" s="14" t="s">
        <v>105</v>
      </c>
      <c r="S13" s="14" t="s">
        <v>49</v>
      </c>
      <c r="T13" s="14" t="s">
        <v>91</v>
      </c>
      <c r="U13" s="14" t="s">
        <v>109</v>
      </c>
      <c r="V13" s="14" t="s">
        <v>106</v>
      </c>
    </row>
    <row r="14" spans="1:22" x14ac:dyDescent="0.2">
      <c r="A14" s="47" t="s">
        <v>27</v>
      </c>
      <c r="B14" s="14">
        <v>6</v>
      </c>
      <c r="C14" s="15" t="s">
        <v>110</v>
      </c>
      <c r="D14" s="16" t="s">
        <v>111</v>
      </c>
      <c r="E14" s="17" t="s">
        <v>112</v>
      </c>
      <c r="F14" s="14" t="s">
        <v>49</v>
      </c>
      <c r="G14" s="14" t="s">
        <v>82</v>
      </c>
      <c r="H14" s="14" t="s">
        <v>83</v>
      </c>
      <c r="I14" s="14" t="s">
        <v>84</v>
      </c>
      <c r="J14" s="14" t="s">
        <v>113</v>
      </c>
      <c r="K14" s="14" t="s">
        <v>114</v>
      </c>
      <c r="L14" s="18"/>
      <c r="M14" s="19" t="s">
        <v>115</v>
      </c>
      <c r="N14" s="14" t="s">
        <v>112</v>
      </c>
      <c r="O14" s="14" t="s">
        <v>112</v>
      </c>
      <c r="P14" s="14" t="s">
        <v>112</v>
      </c>
      <c r="Q14" s="14" t="s">
        <v>49</v>
      </c>
      <c r="R14" s="14" t="s">
        <v>49</v>
      </c>
      <c r="S14" s="14" t="s">
        <v>82</v>
      </c>
      <c r="T14" s="14" t="s">
        <v>82</v>
      </c>
      <c r="U14" s="14" t="s">
        <v>87</v>
      </c>
      <c r="V14" s="14" t="s">
        <v>83</v>
      </c>
    </row>
    <row r="15" spans="1:22" x14ac:dyDescent="0.2">
      <c r="A15" s="47" t="s">
        <v>27</v>
      </c>
      <c r="B15" s="14">
        <v>7</v>
      </c>
      <c r="C15" s="15" t="s">
        <v>116</v>
      </c>
      <c r="D15" s="16" t="s">
        <v>117</v>
      </c>
      <c r="E15" s="17" t="s">
        <v>112</v>
      </c>
      <c r="F15" s="14" t="s">
        <v>49</v>
      </c>
      <c r="G15" s="14" t="s">
        <v>82</v>
      </c>
      <c r="H15" s="14" t="s">
        <v>83</v>
      </c>
      <c r="I15" s="14" t="s">
        <v>84</v>
      </c>
      <c r="J15" s="14" t="s">
        <v>118</v>
      </c>
      <c r="K15" s="14" t="s">
        <v>119</v>
      </c>
      <c r="L15" s="18"/>
      <c r="M15" s="19" t="s">
        <v>120</v>
      </c>
      <c r="N15" s="14" t="s">
        <v>112</v>
      </c>
      <c r="O15" s="14" t="s">
        <v>112</v>
      </c>
      <c r="P15" s="14" t="s">
        <v>112</v>
      </c>
      <c r="Q15" s="14" t="s">
        <v>49</v>
      </c>
      <c r="R15" s="14" t="s">
        <v>49</v>
      </c>
      <c r="S15" s="14" t="s">
        <v>82</v>
      </c>
      <c r="T15" s="14" t="s">
        <v>82</v>
      </c>
      <c r="U15" s="14" t="s">
        <v>87</v>
      </c>
      <c r="V15" s="14" t="s">
        <v>83</v>
      </c>
    </row>
    <row r="16" spans="1:22" x14ac:dyDescent="0.2">
      <c r="A16" s="47" t="s">
        <v>27</v>
      </c>
      <c r="B16" s="14">
        <v>8</v>
      </c>
      <c r="C16" s="15" t="s">
        <v>121</v>
      </c>
      <c r="D16" s="16" t="s">
        <v>122</v>
      </c>
      <c r="E16" s="17" t="s">
        <v>123</v>
      </c>
      <c r="F16" s="14" t="s">
        <v>49</v>
      </c>
      <c r="G16" s="14" t="s">
        <v>91</v>
      </c>
      <c r="H16" s="14" t="s">
        <v>124</v>
      </c>
      <c r="I16" s="14" t="s">
        <v>84</v>
      </c>
      <c r="J16" s="14" t="s">
        <v>125</v>
      </c>
      <c r="K16" s="14" t="s">
        <v>126</v>
      </c>
      <c r="L16" s="18"/>
      <c r="M16" s="19" t="s">
        <v>127</v>
      </c>
      <c r="N16" s="14" t="s">
        <v>123</v>
      </c>
      <c r="O16" s="14" t="s">
        <v>123</v>
      </c>
      <c r="P16" s="14" t="s">
        <v>123</v>
      </c>
      <c r="Q16" s="14" t="s">
        <v>49</v>
      </c>
      <c r="R16" s="14" t="s">
        <v>49</v>
      </c>
      <c r="S16" s="14" t="s">
        <v>49</v>
      </c>
      <c r="T16" s="14" t="s">
        <v>91</v>
      </c>
      <c r="U16" s="14" t="s">
        <v>128</v>
      </c>
      <c r="V16" s="14" t="s">
        <v>124</v>
      </c>
    </row>
    <row r="17" spans="1:22" x14ac:dyDescent="0.2">
      <c r="A17" s="47" t="s">
        <v>27</v>
      </c>
      <c r="B17" s="14">
        <v>9</v>
      </c>
      <c r="C17" s="15" t="s">
        <v>129</v>
      </c>
      <c r="D17" s="16" t="s">
        <v>130</v>
      </c>
      <c r="E17" s="17" t="s">
        <v>123</v>
      </c>
      <c r="F17" s="14" t="s">
        <v>49</v>
      </c>
      <c r="G17" s="14" t="s">
        <v>82</v>
      </c>
      <c r="H17" s="14" t="s">
        <v>83</v>
      </c>
      <c r="I17" s="14" t="s">
        <v>84</v>
      </c>
      <c r="J17" s="14" t="s">
        <v>131</v>
      </c>
      <c r="K17" s="14" t="s">
        <v>132</v>
      </c>
      <c r="L17" s="18"/>
      <c r="M17" s="19" t="s">
        <v>133</v>
      </c>
      <c r="N17" s="14" t="s">
        <v>123</v>
      </c>
      <c r="O17" s="14" t="s">
        <v>123</v>
      </c>
      <c r="P17" s="14" t="s">
        <v>123</v>
      </c>
      <c r="Q17" s="14" t="s">
        <v>49</v>
      </c>
      <c r="R17" s="14" t="s">
        <v>49</v>
      </c>
      <c r="S17" s="14" t="s">
        <v>82</v>
      </c>
      <c r="T17" s="14" t="s">
        <v>82</v>
      </c>
      <c r="U17" s="14" t="s">
        <v>87</v>
      </c>
      <c r="V17" s="14" t="s">
        <v>83</v>
      </c>
    </row>
    <row r="18" spans="1:22" x14ac:dyDescent="0.2">
      <c r="A18" s="47" t="s">
        <v>27</v>
      </c>
      <c r="B18" s="14">
        <v>10</v>
      </c>
      <c r="C18" s="15" t="s">
        <v>134</v>
      </c>
      <c r="D18" s="16" t="s">
        <v>135</v>
      </c>
      <c r="E18" s="17" t="s">
        <v>136</v>
      </c>
      <c r="F18" s="14" t="s">
        <v>105</v>
      </c>
      <c r="G18" s="14" t="s">
        <v>91</v>
      </c>
      <c r="H18" s="14" t="s">
        <v>83</v>
      </c>
      <c r="I18" s="14" t="s">
        <v>84</v>
      </c>
      <c r="J18" s="14" t="s">
        <v>137</v>
      </c>
      <c r="K18" s="14" t="s">
        <v>138</v>
      </c>
      <c r="L18" s="18"/>
      <c r="M18" s="19" t="s">
        <v>139</v>
      </c>
      <c r="N18" s="14" t="s">
        <v>136</v>
      </c>
      <c r="O18" s="14" t="s">
        <v>136</v>
      </c>
      <c r="P18" s="14" t="s">
        <v>136</v>
      </c>
      <c r="Q18" s="14" t="s">
        <v>105</v>
      </c>
      <c r="R18" s="14" t="s">
        <v>105</v>
      </c>
      <c r="S18" s="14" t="s">
        <v>49</v>
      </c>
      <c r="T18" s="14" t="s">
        <v>91</v>
      </c>
      <c r="U18" s="14" t="s">
        <v>87</v>
      </c>
      <c r="V18" s="14" t="s">
        <v>83</v>
      </c>
    </row>
    <row r="19" spans="1:22" x14ac:dyDescent="0.2">
      <c r="A19" s="47" t="s">
        <v>27</v>
      </c>
      <c r="B19" s="14">
        <v>11</v>
      </c>
      <c r="C19" s="15" t="s">
        <v>140</v>
      </c>
      <c r="D19" s="16" t="s">
        <v>141</v>
      </c>
      <c r="E19" s="17" t="s">
        <v>136</v>
      </c>
      <c r="F19" s="14" t="s">
        <v>49</v>
      </c>
      <c r="G19" s="14" t="s">
        <v>91</v>
      </c>
      <c r="H19" s="14" t="s">
        <v>142</v>
      </c>
      <c r="I19" s="14" t="s">
        <v>84</v>
      </c>
      <c r="J19" s="14" t="s">
        <v>143</v>
      </c>
      <c r="K19" s="14" t="s">
        <v>144</v>
      </c>
      <c r="L19" s="18"/>
      <c r="M19" s="19" t="s">
        <v>145</v>
      </c>
      <c r="N19" s="14" t="s">
        <v>136</v>
      </c>
      <c r="O19" s="14" t="s">
        <v>136</v>
      </c>
      <c r="P19" s="14" t="s">
        <v>136</v>
      </c>
      <c r="Q19" s="14" t="s">
        <v>49</v>
      </c>
      <c r="R19" s="14" t="s">
        <v>49</v>
      </c>
      <c r="S19" s="14" t="s">
        <v>49</v>
      </c>
      <c r="T19" s="14" t="s">
        <v>91</v>
      </c>
      <c r="U19" s="14" t="s">
        <v>146</v>
      </c>
      <c r="V19" s="14" t="s">
        <v>142</v>
      </c>
    </row>
    <row r="20" spans="1:22" x14ac:dyDescent="0.2">
      <c r="A20" s="47" t="s">
        <v>27</v>
      </c>
      <c r="B20" s="14">
        <v>12</v>
      </c>
      <c r="C20" s="15" t="s">
        <v>147</v>
      </c>
      <c r="D20" s="16" t="s">
        <v>148</v>
      </c>
      <c r="E20" s="17" t="s">
        <v>136</v>
      </c>
      <c r="F20" s="14" t="s">
        <v>149</v>
      </c>
      <c r="G20" s="14" t="s">
        <v>91</v>
      </c>
      <c r="H20" s="14" t="s">
        <v>150</v>
      </c>
      <c r="I20" s="14" t="s">
        <v>84</v>
      </c>
      <c r="J20" s="14" t="s">
        <v>151</v>
      </c>
      <c r="K20" s="14" t="s">
        <v>152</v>
      </c>
      <c r="L20" s="18"/>
      <c r="M20" s="19" t="s">
        <v>153</v>
      </c>
      <c r="N20" s="14" t="s">
        <v>136</v>
      </c>
      <c r="O20" s="14" t="s">
        <v>136</v>
      </c>
      <c r="P20" s="14" t="s">
        <v>136</v>
      </c>
      <c r="Q20" s="14" t="s">
        <v>149</v>
      </c>
      <c r="R20" s="14" t="s">
        <v>149</v>
      </c>
      <c r="S20" s="14" t="s">
        <v>49</v>
      </c>
      <c r="T20" s="14" t="s">
        <v>91</v>
      </c>
      <c r="U20" s="14" t="s">
        <v>154</v>
      </c>
      <c r="V20" s="14" t="s">
        <v>150</v>
      </c>
    </row>
    <row r="21" spans="1:22" x14ac:dyDescent="0.2">
      <c r="A21" s="47" t="s">
        <v>27</v>
      </c>
      <c r="B21" s="14">
        <v>13</v>
      </c>
      <c r="C21" s="15" t="s">
        <v>155</v>
      </c>
      <c r="D21" s="16" t="s">
        <v>156</v>
      </c>
      <c r="E21" s="17" t="s">
        <v>136</v>
      </c>
      <c r="F21" s="14" t="s">
        <v>49</v>
      </c>
      <c r="G21" s="14" t="s">
        <v>91</v>
      </c>
      <c r="H21" s="14" t="s">
        <v>157</v>
      </c>
      <c r="I21" s="14" t="s">
        <v>84</v>
      </c>
      <c r="J21" s="14" t="s">
        <v>158</v>
      </c>
      <c r="K21" s="14" t="s">
        <v>159</v>
      </c>
      <c r="L21" s="18"/>
      <c r="M21" s="19" t="s">
        <v>160</v>
      </c>
      <c r="N21" s="14" t="s">
        <v>136</v>
      </c>
      <c r="O21" s="14" t="s">
        <v>136</v>
      </c>
      <c r="P21" s="14" t="s">
        <v>136</v>
      </c>
      <c r="Q21" s="14" t="s">
        <v>49</v>
      </c>
      <c r="R21" s="14" t="s">
        <v>49</v>
      </c>
      <c r="S21" s="14" t="s">
        <v>49</v>
      </c>
      <c r="T21" s="14" t="s">
        <v>91</v>
      </c>
      <c r="U21" s="14" t="s">
        <v>161</v>
      </c>
      <c r="V21" s="14" t="s">
        <v>157</v>
      </c>
    </row>
    <row r="22" spans="1:22" x14ac:dyDescent="0.2">
      <c r="A22" s="47" t="s">
        <v>27</v>
      </c>
      <c r="B22" s="14">
        <v>14</v>
      </c>
      <c r="C22" s="15" t="s">
        <v>162</v>
      </c>
      <c r="D22" s="16" t="s">
        <v>163</v>
      </c>
      <c r="E22" s="17" t="s">
        <v>136</v>
      </c>
      <c r="F22" s="14" t="s">
        <v>49</v>
      </c>
      <c r="G22" s="14" t="s">
        <v>91</v>
      </c>
      <c r="H22" s="14" t="s">
        <v>83</v>
      </c>
      <c r="I22" s="14" t="s">
        <v>84</v>
      </c>
      <c r="J22" s="14" t="s">
        <v>164</v>
      </c>
      <c r="K22" s="14" t="s">
        <v>165</v>
      </c>
      <c r="L22" s="18"/>
      <c r="M22" s="19" t="s">
        <v>166</v>
      </c>
      <c r="N22" s="14" t="s">
        <v>136</v>
      </c>
      <c r="O22" s="14" t="s">
        <v>136</v>
      </c>
      <c r="P22" s="14" t="s">
        <v>136</v>
      </c>
      <c r="Q22" s="14" t="s">
        <v>49</v>
      </c>
      <c r="R22" s="14" t="s">
        <v>49</v>
      </c>
      <c r="S22" s="14" t="s">
        <v>49</v>
      </c>
      <c r="T22" s="14" t="s">
        <v>91</v>
      </c>
      <c r="U22" s="14" t="s">
        <v>87</v>
      </c>
      <c r="V22" s="14" t="s">
        <v>83</v>
      </c>
    </row>
    <row r="23" spans="1:22" x14ac:dyDescent="0.2">
      <c r="A23" s="47" t="s">
        <v>27</v>
      </c>
      <c r="B23" s="14">
        <v>15</v>
      </c>
      <c r="C23" s="15" t="s">
        <v>167</v>
      </c>
      <c r="D23" s="16" t="s">
        <v>168</v>
      </c>
      <c r="E23" s="17" t="s">
        <v>169</v>
      </c>
      <c r="F23" s="14" t="s">
        <v>49</v>
      </c>
      <c r="G23" s="14" t="s">
        <v>91</v>
      </c>
      <c r="H23" s="14" t="s">
        <v>83</v>
      </c>
      <c r="I23" s="14" t="s">
        <v>84</v>
      </c>
      <c r="J23" s="14" t="s">
        <v>170</v>
      </c>
      <c r="K23" s="14" t="s">
        <v>171</v>
      </c>
      <c r="L23" s="18"/>
      <c r="M23" s="19" t="s">
        <v>172</v>
      </c>
      <c r="N23" s="14" t="s">
        <v>169</v>
      </c>
      <c r="O23" s="14" t="s">
        <v>169</v>
      </c>
      <c r="P23" s="14" t="s">
        <v>169</v>
      </c>
      <c r="Q23" s="14" t="s">
        <v>49</v>
      </c>
      <c r="R23" s="14" t="s">
        <v>49</v>
      </c>
      <c r="S23" s="14" t="s">
        <v>49</v>
      </c>
      <c r="T23" s="14" t="s">
        <v>91</v>
      </c>
      <c r="U23" s="14" t="s">
        <v>87</v>
      </c>
      <c r="V23" s="14" t="s">
        <v>83</v>
      </c>
    </row>
    <row r="24" spans="1:22" x14ac:dyDescent="0.2">
      <c r="A24" s="47" t="s">
        <v>27</v>
      </c>
      <c r="B24" s="14">
        <v>16</v>
      </c>
      <c r="C24" s="15" t="s">
        <v>173</v>
      </c>
      <c r="D24" s="16" t="s">
        <v>174</v>
      </c>
      <c r="E24" s="17" t="s">
        <v>175</v>
      </c>
      <c r="F24" s="14" t="s">
        <v>49</v>
      </c>
      <c r="G24" s="14" t="s">
        <v>91</v>
      </c>
      <c r="H24" s="14" t="s">
        <v>83</v>
      </c>
      <c r="I24" s="14" t="s">
        <v>84</v>
      </c>
      <c r="J24" s="14" t="s">
        <v>176</v>
      </c>
      <c r="K24" s="14" t="s">
        <v>177</v>
      </c>
      <c r="L24" s="18"/>
      <c r="M24" s="19" t="s">
        <v>178</v>
      </c>
      <c r="N24" s="14" t="s">
        <v>175</v>
      </c>
      <c r="O24" s="14" t="s">
        <v>175</v>
      </c>
      <c r="P24" s="14" t="s">
        <v>175</v>
      </c>
      <c r="Q24" s="14" t="s">
        <v>49</v>
      </c>
      <c r="R24" s="14" t="s">
        <v>49</v>
      </c>
      <c r="S24" s="14" t="s">
        <v>49</v>
      </c>
      <c r="T24" s="14" t="s">
        <v>91</v>
      </c>
      <c r="U24" s="14" t="s">
        <v>87</v>
      </c>
      <c r="V24" s="14" t="s">
        <v>83</v>
      </c>
    </row>
  </sheetData>
  <conditionalFormatting sqref="A9:A24">
    <cfRule type="expression" dxfId="27" priority="1" stopIfTrue="1">
      <formula>$A9="OK"</formula>
    </cfRule>
    <cfRule type="expression" dxfId="26" priority="2">
      <formula>$A9="VERIFICA"</formula>
    </cfRule>
    <cfRule type="expression" dxfId="25" priority="3">
      <formula>$A9="NO"</formula>
    </cfRule>
  </conditionalFormatting>
  <hyperlinks>
    <hyperlink ref="M9" r:id="rId1" xr:uid="{00000000-0004-0000-0100-000000000000}"/>
    <hyperlink ref="M10" r:id="rId2" xr:uid="{00000000-0004-0000-0100-000001000000}"/>
    <hyperlink ref="M11" r:id="rId3" xr:uid="{00000000-0004-0000-0100-000002000000}"/>
    <hyperlink ref="M12" r:id="rId4" xr:uid="{00000000-0004-0000-0100-000003000000}"/>
    <hyperlink ref="M13" r:id="rId5" xr:uid="{00000000-0004-0000-0100-000004000000}"/>
    <hyperlink ref="M14" r:id="rId6" xr:uid="{00000000-0004-0000-0100-000005000000}"/>
    <hyperlink ref="M15" r:id="rId7" xr:uid="{00000000-0004-0000-0100-000006000000}"/>
    <hyperlink ref="M16" r:id="rId8" xr:uid="{00000000-0004-0000-0100-000007000000}"/>
    <hyperlink ref="M17" r:id="rId9" xr:uid="{00000000-0004-0000-0100-000008000000}"/>
    <hyperlink ref="M18" r:id="rId10" xr:uid="{00000000-0004-0000-0100-000009000000}"/>
    <hyperlink ref="M19" r:id="rId11" xr:uid="{00000000-0004-0000-0100-00000A000000}"/>
    <hyperlink ref="M20" r:id="rId12" xr:uid="{00000000-0004-0000-0100-00000B000000}"/>
    <hyperlink ref="M21" r:id="rId13" xr:uid="{00000000-0004-0000-0100-00000C000000}"/>
    <hyperlink ref="M22" r:id="rId14" xr:uid="{00000000-0004-0000-0100-00000D000000}"/>
    <hyperlink ref="M23" r:id="rId15" xr:uid="{00000000-0004-0000-0100-00000E000000}"/>
    <hyperlink ref="M24" r:id="rId16" xr:uid="{00000000-0004-0000-0100-00000F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21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G3" sqref="G3"/>
    </sheetView>
  </sheetViews>
  <sheetFormatPr baseColWidth="10" defaultColWidth="8.6640625" defaultRowHeight="15" outlineLevelCol="1" x14ac:dyDescent="0.2"/>
  <cols>
    <col min="1" max="1" width="14" customWidth="1"/>
    <col min="2" max="2" width="5" customWidth="1"/>
    <col min="3" max="3" width="28" customWidth="1"/>
    <col min="4" max="4" width="13" customWidth="1"/>
    <col min="5" max="5" width="27" customWidth="1"/>
    <col min="6" max="6" width="16" customWidth="1"/>
    <col min="7" max="7" width="14" customWidth="1"/>
    <col min="8" max="8" width="18" customWidth="1"/>
    <col min="9" max="9" width="13" customWidth="1"/>
    <col min="10" max="10" width="10" customWidth="1"/>
    <col min="11" max="11" width="8" customWidth="1"/>
    <col min="12" max="12" width="44" customWidth="1"/>
    <col min="13" max="13" width="18" customWidth="1"/>
    <col min="14" max="18" width="11" hidden="1" customWidth="1" outlineLevel="1"/>
    <col min="19" max="19" width="12.33203125" hidden="1" customWidth="1" outlineLevel="1"/>
    <col min="20" max="20" width="13.5" hidden="1" customWidth="1" outlineLevel="1"/>
    <col min="21" max="21" width="12.6640625" hidden="1" customWidth="1" outlineLevel="1"/>
    <col min="22" max="22" width="10" hidden="1" customWidth="1" outlineLevel="1"/>
    <col min="23" max="23" width="8.6640625" collapsed="1"/>
  </cols>
  <sheetData>
    <row r="1" spans="1:22" ht="18" customHeight="1" x14ac:dyDescent="0.2">
      <c r="A1" s="1" t="s">
        <v>179</v>
      </c>
    </row>
    <row r="2" spans="1:22" x14ac:dyDescent="0.2">
      <c r="A2" s="2" t="s">
        <v>60</v>
      </c>
    </row>
    <row r="4" spans="1:22" x14ac:dyDescent="0.2">
      <c r="A4" s="5" t="s">
        <v>61</v>
      </c>
      <c r="B4" s="11" t="str">
        <f>COUNTIF($A$9:$A$21,"✔ OK")&amp;" ✔ OK  ·  "&amp;COUNTIF($A$9:$A$21,"✖ NO")&amp;" ✖ NO  ·  "&amp;COUNTIF($A$9:$A$21,"⚠ VERIFICA")&amp;" ⚠ da verificare"</f>
        <v>10 ✔ OK  ·  0 ✖ NO  ·  0 ⚠ da verificare</v>
      </c>
    </row>
    <row r="5" spans="1:22" x14ac:dyDescent="0.2">
      <c r="A5" s="5" t="s">
        <v>62</v>
      </c>
      <c r="B5" s="11" t="str">
        <f>"tessera "&amp;(COUNTIF($R$9:$R$21,"T")+COUNTIF($R$9:$R$21,"N")+COUNTIF($R$9:$R$21,"S"))&amp;"  ·  lista "&amp;(COUNTIF($Q$9:$Q$21,"T")+COUNTIF($Q$9:$Q$21,"N")+COUNTIF($Q$9:$Q$21,"S"))&amp;"  ·  non letti in tessera "&amp;COUNTIF($R$9:$R$21,"NON LETTO")</f>
        <v>tessera 3  ·  lista 3  ·  non letti in tessera 0</v>
      </c>
    </row>
    <row r="6" spans="1:22" x14ac:dyDescent="0.2">
      <c r="A6" s="5" t="s">
        <v>9</v>
      </c>
      <c r="B6" s="11" t="str">
        <f>"tessera "&amp;COUNTIF($T$9:$T$21,"Sì")&amp;"  ·  lista "&amp;COUNTIF($S$9:$S$21,"Sì")&amp;"  ·  non letti in tessera "&amp;COUNTIF($T$9:$T$21,"NON LETTO")</f>
        <v>tessera 8  ·  lista 8  ·  non letti in tessera 0</v>
      </c>
    </row>
    <row r="8" spans="1:22" ht="27.75" customHeight="1" x14ac:dyDescent="0.2">
      <c r="A8" s="12" t="s">
        <v>63</v>
      </c>
      <c r="B8" s="12" t="s">
        <v>3</v>
      </c>
      <c r="C8" s="12" t="s">
        <v>64</v>
      </c>
      <c r="D8" s="12" t="s">
        <v>65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66</v>
      </c>
      <c r="J8" s="12" t="s">
        <v>57</v>
      </c>
      <c r="K8" s="12" t="s">
        <v>67</v>
      </c>
      <c r="L8" s="12" t="s">
        <v>68</v>
      </c>
      <c r="M8" s="12" t="s">
        <v>69</v>
      </c>
      <c r="N8" s="13" t="s">
        <v>70</v>
      </c>
      <c r="O8" s="13" t="s">
        <v>71</v>
      </c>
      <c r="P8" s="13" t="s">
        <v>72</v>
      </c>
      <c r="Q8" s="13" t="s">
        <v>73</v>
      </c>
      <c r="R8" s="13" t="s">
        <v>74</v>
      </c>
      <c r="S8" s="13" t="s">
        <v>75</v>
      </c>
      <c r="T8" s="13" t="s">
        <v>76</v>
      </c>
      <c r="U8" s="13" t="s">
        <v>77</v>
      </c>
      <c r="V8" s="13" t="s">
        <v>78</v>
      </c>
    </row>
    <row r="9" spans="1:22" x14ac:dyDescent="0.2">
      <c r="A9" s="47" t="s">
        <v>27</v>
      </c>
      <c r="B9" s="14">
        <v>1</v>
      </c>
      <c r="C9" s="15" t="s">
        <v>180</v>
      </c>
      <c r="D9" s="16" t="s">
        <v>181</v>
      </c>
      <c r="E9" s="17" t="s">
        <v>182</v>
      </c>
      <c r="F9" s="14" t="s">
        <v>49</v>
      </c>
      <c r="G9" s="14" t="s">
        <v>91</v>
      </c>
      <c r="H9" s="14" t="s">
        <v>83</v>
      </c>
      <c r="I9" s="14" t="s">
        <v>84</v>
      </c>
      <c r="J9" s="14" t="s">
        <v>49</v>
      </c>
      <c r="K9" s="14" t="s">
        <v>183</v>
      </c>
      <c r="L9" s="18"/>
      <c r="M9" s="19" t="s">
        <v>184</v>
      </c>
      <c r="N9" s="14" t="s">
        <v>182</v>
      </c>
      <c r="O9" s="14" t="s">
        <v>182</v>
      </c>
      <c r="P9" s="14" t="s">
        <v>182</v>
      </c>
      <c r="Q9" s="14" t="s">
        <v>49</v>
      </c>
      <c r="R9" s="14" t="s">
        <v>49</v>
      </c>
      <c r="S9" s="14" t="s">
        <v>49</v>
      </c>
      <c r="T9" s="14" t="s">
        <v>91</v>
      </c>
      <c r="U9" s="14" t="s">
        <v>87</v>
      </c>
      <c r="V9" s="14" t="s">
        <v>83</v>
      </c>
    </row>
    <row r="10" spans="1:22" x14ac:dyDescent="0.2">
      <c r="A10" s="47" t="s">
        <v>238</v>
      </c>
      <c r="B10" s="14">
        <v>2</v>
      </c>
      <c r="C10" s="15" t="s">
        <v>185</v>
      </c>
      <c r="D10" s="16" t="s">
        <v>186</v>
      </c>
      <c r="E10" s="17" t="s">
        <v>182</v>
      </c>
      <c r="F10" s="45" t="s">
        <v>187</v>
      </c>
      <c r="G10" s="14" t="s">
        <v>91</v>
      </c>
      <c r="H10" s="14" t="s">
        <v>83</v>
      </c>
      <c r="I10" s="14" t="s">
        <v>84</v>
      </c>
      <c r="J10" s="14" t="s">
        <v>49</v>
      </c>
      <c r="K10" s="14" t="s">
        <v>183</v>
      </c>
      <c r="L10" s="20" t="s">
        <v>188</v>
      </c>
      <c r="M10" s="19" t="s">
        <v>189</v>
      </c>
      <c r="N10" s="14" t="s">
        <v>182</v>
      </c>
      <c r="O10" s="14" t="s">
        <v>182</v>
      </c>
      <c r="P10" s="14" t="s">
        <v>182</v>
      </c>
      <c r="Q10" s="14" t="s">
        <v>105</v>
      </c>
      <c r="R10" s="14" t="s">
        <v>105</v>
      </c>
      <c r="S10" s="14" t="s">
        <v>49</v>
      </c>
      <c r="T10" s="14" t="s">
        <v>91</v>
      </c>
      <c r="U10" s="14" t="s">
        <v>87</v>
      </c>
      <c r="V10" s="14" t="s">
        <v>83</v>
      </c>
    </row>
    <row r="11" spans="1:22" x14ac:dyDescent="0.2">
      <c r="A11" s="47" t="s">
        <v>237</v>
      </c>
      <c r="B11" s="14">
        <v>3</v>
      </c>
      <c r="C11" s="15" t="s">
        <v>190</v>
      </c>
      <c r="D11" s="16" t="s">
        <v>191</v>
      </c>
      <c r="E11" s="17" t="s">
        <v>192</v>
      </c>
      <c r="F11" s="14" t="s">
        <v>49</v>
      </c>
      <c r="G11" s="14" t="s">
        <v>82</v>
      </c>
      <c r="H11" s="14" t="s">
        <v>83</v>
      </c>
      <c r="I11" s="14" t="s">
        <v>84</v>
      </c>
      <c r="J11" s="14" t="s">
        <v>49</v>
      </c>
      <c r="K11" s="14" t="s">
        <v>119</v>
      </c>
      <c r="L11" s="18"/>
      <c r="M11" s="19" t="s">
        <v>193</v>
      </c>
      <c r="N11" s="14" t="s">
        <v>192</v>
      </c>
      <c r="O11" s="14" t="s">
        <v>192</v>
      </c>
      <c r="P11" s="14" t="s">
        <v>192</v>
      </c>
      <c r="Q11" s="14" t="s">
        <v>49</v>
      </c>
      <c r="R11" s="14" t="s">
        <v>49</v>
      </c>
      <c r="S11" s="14" t="s">
        <v>82</v>
      </c>
      <c r="T11" s="14" t="s">
        <v>82</v>
      </c>
      <c r="U11" s="14" t="s">
        <v>87</v>
      </c>
      <c r="V11" s="14" t="s">
        <v>83</v>
      </c>
    </row>
    <row r="12" spans="1:22" x14ac:dyDescent="0.2">
      <c r="A12" s="47" t="s">
        <v>27</v>
      </c>
      <c r="B12" s="14">
        <v>4</v>
      </c>
      <c r="C12" s="15" t="s">
        <v>194</v>
      </c>
      <c r="D12" s="16" t="s">
        <v>195</v>
      </c>
      <c r="E12" s="17" t="s">
        <v>196</v>
      </c>
      <c r="F12" s="14" t="s">
        <v>49</v>
      </c>
      <c r="G12" s="14" t="s">
        <v>82</v>
      </c>
      <c r="H12" s="14" t="s">
        <v>83</v>
      </c>
      <c r="I12" s="14" t="s">
        <v>84</v>
      </c>
      <c r="J12" s="14" t="s">
        <v>49</v>
      </c>
      <c r="K12" s="14" t="s">
        <v>197</v>
      </c>
      <c r="L12" s="18"/>
      <c r="M12" s="19" t="s">
        <v>198</v>
      </c>
      <c r="N12" s="14" t="s">
        <v>196</v>
      </c>
      <c r="O12" s="14" t="s">
        <v>196</v>
      </c>
      <c r="P12" s="14" t="s">
        <v>196</v>
      </c>
      <c r="Q12" s="14" t="s">
        <v>49</v>
      </c>
      <c r="R12" s="14" t="s">
        <v>49</v>
      </c>
      <c r="S12" s="14" t="s">
        <v>82</v>
      </c>
      <c r="T12" s="14" t="s">
        <v>82</v>
      </c>
      <c r="U12" s="14" t="s">
        <v>87</v>
      </c>
      <c r="V12" s="14" t="s">
        <v>83</v>
      </c>
    </row>
    <row r="13" spans="1:22" x14ac:dyDescent="0.2">
      <c r="A13" s="47" t="s">
        <v>27</v>
      </c>
      <c r="B13" s="14">
        <v>5</v>
      </c>
      <c r="C13" s="15" t="s">
        <v>199</v>
      </c>
      <c r="D13" s="16" t="s">
        <v>200</v>
      </c>
      <c r="E13" s="17" t="s">
        <v>196</v>
      </c>
      <c r="F13" s="14" t="s">
        <v>49</v>
      </c>
      <c r="G13" s="14" t="s">
        <v>82</v>
      </c>
      <c r="H13" s="14" t="s">
        <v>83</v>
      </c>
      <c r="I13" s="14" t="s">
        <v>84</v>
      </c>
      <c r="J13" s="14" t="s">
        <v>49</v>
      </c>
      <c r="K13" s="14" t="s">
        <v>197</v>
      </c>
      <c r="L13" s="18"/>
      <c r="M13" s="19" t="s">
        <v>201</v>
      </c>
      <c r="N13" s="14" t="s">
        <v>196</v>
      </c>
      <c r="O13" s="14" t="s">
        <v>196</v>
      </c>
      <c r="P13" s="14" t="s">
        <v>196</v>
      </c>
      <c r="Q13" s="14" t="s">
        <v>49</v>
      </c>
      <c r="R13" s="14" t="s">
        <v>49</v>
      </c>
      <c r="S13" s="14" t="s">
        <v>82</v>
      </c>
      <c r="T13" s="14" t="s">
        <v>82</v>
      </c>
      <c r="U13" s="14" t="s">
        <v>87</v>
      </c>
      <c r="V13" s="14" t="s">
        <v>83</v>
      </c>
    </row>
    <row r="14" spans="1:22" x14ac:dyDescent="0.2">
      <c r="A14" s="47" t="s">
        <v>27</v>
      </c>
      <c r="B14" s="14">
        <v>6</v>
      </c>
      <c r="C14" s="15" t="s">
        <v>202</v>
      </c>
      <c r="D14" s="16" t="s">
        <v>203</v>
      </c>
      <c r="E14" s="17" t="s">
        <v>81</v>
      </c>
      <c r="F14" s="14" t="s">
        <v>49</v>
      </c>
      <c r="G14" s="14" t="s">
        <v>82</v>
      </c>
      <c r="H14" s="14" t="s">
        <v>83</v>
      </c>
      <c r="I14" s="14" t="s">
        <v>84</v>
      </c>
      <c r="J14" s="14" t="s">
        <v>49</v>
      </c>
      <c r="K14" s="14" t="s">
        <v>132</v>
      </c>
      <c r="L14" s="18"/>
      <c r="M14" s="19" t="s">
        <v>204</v>
      </c>
      <c r="N14" s="14" t="s">
        <v>81</v>
      </c>
      <c r="O14" s="14" t="s">
        <v>81</v>
      </c>
      <c r="P14" s="14" t="s">
        <v>81</v>
      </c>
      <c r="Q14" s="14" t="s">
        <v>49</v>
      </c>
      <c r="R14" s="14" t="s">
        <v>49</v>
      </c>
      <c r="S14" s="14" t="s">
        <v>82</v>
      </c>
      <c r="T14" s="14" t="s">
        <v>82</v>
      </c>
      <c r="U14" s="14" t="s">
        <v>87</v>
      </c>
      <c r="V14" s="14" t="s">
        <v>83</v>
      </c>
    </row>
    <row r="15" spans="1:22" x14ac:dyDescent="0.2">
      <c r="A15" s="47" t="s">
        <v>27</v>
      </c>
      <c r="B15" s="14">
        <v>7</v>
      </c>
      <c r="C15" s="15" t="s">
        <v>205</v>
      </c>
      <c r="D15" s="16" t="s">
        <v>206</v>
      </c>
      <c r="E15" s="17" t="s">
        <v>99</v>
      </c>
      <c r="F15" s="14" t="s">
        <v>49</v>
      </c>
      <c r="G15" s="14" t="s">
        <v>82</v>
      </c>
      <c r="H15" s="14" t="s">
        <v>83</v>
      </c>
      <c r="I15" s="14" t="s">
        <v>84</v>
      </c>
      <c r="J15" s="14" t="s">
        <v>49</v>
      </c>
      <c r="K15" s="14" t="s">
        <v>138</v>
      </c>
      <c r="L15" s="18"/>
      <c r="M15" s="19" t="s">
        <v>198</v>
      </c>
      <c r="N15" s="14" t="s">
        <v>99</v>
      </c>
      <c r="O15" s="14" t="s">
        <v>99</v>
      </c>
      <c r="P15" s="14" t="s">
        <v>99</v>
      </c>
      <c r="Q15" s="14" t="s">
        <v>49</v>
      </c>
      <c r="R15" s="14" t="s">
        <v>49</v>
      </c>
      <c r="S15" s="14" t="s">
        <v>82</v>
      </c>
      <c r="T15" s="14" t="s">
        <v>82</v>
      </c>
      <c r="U15" s="14" t="s">
        <v>87</v>
      </c>
      <c r="V15" s="14" t="s">
        <v>83</v>
      </c>
    </row>
    <row r="16" spans="1:22" x14ac:dyDescent="0.2">
      <c r="A16" s="47" t="s">
        <v>27</v>
      </c>
      <c r="B16" s="14">
        <v>8</v>
      </c>
      <c r="C16" s="15" t="s">
        <v>207</v>
      </c>
      <c r="D16" s="16" t="s">
        <v>208</v>
      </c>
      <c r="E16" s="17" t="s">
        <v>104</v>
      </c>
      <c r="F16" s="14" t="s">
        <v>105</v>
      </c>
      <c r="G16" s="14" t="s">
        <v>91</v>
      </c>
      <c r="H16" s="14" t="s">
        <v>83</v>
      </c>
      <c r="I16" s="14" t="s">
        <v>84</v>
      </c>
      <c r="J16" s="14" t="s">
        <v>49</v>
      </c>
      <c r="K16" s="14" t="s">
        <v>144</v>
      </c>
      <c r="L16" s="18"/>
      <c r="M16" s="19" t="s">
        <v>209</v>
      </c>
      <c r="N16" s="14" t="s">
        <v>104</v>
      </c>
      <c r="O16" s="14" t="s">
        <v>104</v>
      </c>
      <c r="P16" s="14" t="s">
        <v>104</v>
      </c>
      <c r="Q16" s="14" t="s">
        <v>105</v>
      </c>
      <c r="R16" s="14" t="s">
        <v>105</v>
      </c>
      <c r="S16" s="14" t="s">
        <v>49</v>
      </c>
      <c r="T16" s="14" t="s">
        <v>91</v>
      </c>
      <c r="U16" s="14" t="s">
        <v>87</v>
      </c>
      <c r="V16" s="14" t="s">
        <v>83</v>
      </c>
    </row>
    <row r="17" spans="1:22" x14ac:dyDescent="0.2">
      <c r="A17" s="47" t="s">
        <v>27</v>
      </c>
      <c r="B17" s="14">
        <v>9</v>
      </c>
      <c r="C17" s="15" t="s">
        <v>210</v>
      </c>
      <c r="D17" s="16" t="s">
        <v>211</v>
      </c>
      <c r="E17" s="17" t="s">
        <v>112</v>
      </c>
      <c r="F17" s="14" t="s">
        <v>49</v>
      </c>
      <c r="G17" s="14" t="s">
        <v>82</v>
      </c>
      <c r="H17" s="14" t="s">
        <v>83</v>
      </c>
      <c r="I17" s="14" t="s">
        <v>84</v>
      </c>
      <c r="J17" s="14" t="s">
        <v>212</v>
      </c>
      <c r="K17" s="14" t="s">
        <v>177</v>
      </c>
      <c r="L17" s="18"/>
      <c r="M17" s="19" t="s">
        <v>213</v>
      </c>
      <c r="N17" s="14" t="s">
        <v>112</v>
      </c>
      <c r="O17" s="14" t="s">
        <v>112</v>
      </c>
      <c r="P17" s="14" t="s">
        <v>112</v>
      </c>
      <c r="Q17" s="14" t="s">
        <v>49</v>
      </c>
      <c r="R17" s="14" t="s">
        <v>49</v>
      </c>
      <c r="S17" s="14" t="s">
        <v>82</v>
      </c>
      <c r="T17" s="14" t="s">
        <v>82</v>
      </c>
      <c r="U17" s="14" t="s">
        <v>87</v>
      </c>
      <c r="V17" s="14" t="s">
        <v>83</v>
      </c>
    </row>
    <row r="18" spans="1:22" ht="28" customHeight="1" x14ac:dyDescent="0.2">
      <c r="A18" s="47" t="s">
        <v>214</v>
      </c>
      <c r="B18" s="14">
        <v>10</v>
      </c>
      <c r="C18" s="15" t="s">
        <v>215</v>
      </c>
      <c r="D18" s="16" t="s">
        <v>216</v>
      </c>
      <c r="E18" s="46" t="s">
        <v>217</v>
      </c>
      <c r="F18" s="45" t="s">
        <v>51</v>
      </c>
      <c r="G18" s="45" t="s">
        <v>91</v>
      </c>
      <c r="H18" s="45" t="s">
        <v>51</v>
      </c>
      <c r="I18" s="45" t="s">
        <v>51</v>
      </c>
      <c r="J18" s="14" t="s">
        <v>218</v>
      </c>
      <c r="K18" s="14" t="s">
        <v>159</v>
      </c>
      <c r="L18" s="21" t="s">
        <v>219</v>
      </c>
      <c r="M18" s="19" t="s">
        <v>220</v>
      </c>
      <c r="N18" s="14" t="s">
        <v>123</v>
      </c>
      <c r="O18" s="14" t="s">
        <v>123</v>
      </c>
      <c r="P18" s="14" t="s">
        <v>221</v>
      </c>
      <c r="Q18" s="14" t="s">
        <v>105</v>
      </c>
      <c r="R18" s="14" t="s">
        <v>105</v>
      </c>
      <c r="S18" s="14" t="s">
        <v>49</v>
      </c>
      <c r="T18" s="14" t="s">
        <v>91</v>
      </c>
      <c r="U18" s="14" t="s">
        <v>87</v>
      </c>
      <c r="V18" s="14" t="s">
        <v>221</v>
      </c>
    </row>
    <row r="19" spans="1:22" x14ac:dyDescent="0.2">
      <c r="A19" s="47" t="s">
        <v>27</v>
      </c>
      <c r="B19" s="14">
        <v>11</v>
      </c>
      <c r="C19" s="15" t="s">
        <v>222</v>
      </c>
      <c r="D19" s="16" t="s">
        <v>223</v>
      </c>
      <c r="E19" s="17" t="s">
        <v>136</v>
      </c>
      <c r="F19" s="14" t="s">
        <v>49</v>
      </c>
      <c r="G19" s="14" t="s">
        <v>82</v>
      </c>
      <c r="H19" s="14" t="s">
        <v>83</v>
      </c>
      <c r="I19" s="14" t="s">
        <v>84</v>
      </c>
      <c r="J19" s="14" t="s">
        <v>224</v>
      </c>
      <c r="K19" s="14" t="s">
        <v>152</v>
      </c>
      <c r="L19" s="18"/>
      <c r="M19" s="19" t="s">
        <v>225</v>
      </c>
      <c r="N19" s="14" t="s">
        <v>136</v>
      </c>
      <c r="O19" s="14" t="s">
        <v>136</v>
      </c>
      <c r="P19" s="14" t="s">
        <v>136</v>
      </c>
      <c r="Q19" s="14" t="s">
        <v>49</v>
      </c>
      <c r="R19" s="14" t="s">
        <v>49</v>
      </c>
      <c r="S19" s="14" t="s">
        <v>82</v>
      </c>
      <c r="T19" s="14" t="s">
        <v>82</v>
      </c>
      <c r="U19" s="14" t="s">
        <v>87</v>
      </c>
      <c r="V19" s="14" t="s">
        <v>83</v>
      </c>
    </row>
    <row r="20" spans="1:22" x14ac:dyDescent="0.2">
      <c r="A20" s="47" t="s">
        <v>27</v>
      </c>
      <c r="B20" s="14">
        <v>12</v>
      </c>
      <c r="C20" s="15" t="s">
        <v>226</v>
      </c>
      <c r="D20" s="16" t="s">
        <v>227</v>
      </c>
      <c r="E20" s="17" t="s">
        <v>136</v>
      </c>
      <c r="F20" s="14" t="s">
        <v>49</v>
      </c>
      <c r="G20" s="14" t="s">
        <v>82</v>
      </c>
      <c r="H20" s="14" t="s">
        <v>83</v>
      </c>
      <c r="I20" s="14" t="s">
        <v>84</v>
      </c>
      <c r="J20" s="14" t="s">
        <v>228</v>
      </c>
      <c r="K20" s="14" t="s">
        <v>165</v>
      </c>
      <c r="L20" s="18"/>
      <c r="M20" s="19" t="s">
        <v>229</v>
      </c>
      <c r="N20" s="14" t="s">
        <v>136</v>
      </c>
      <c r="O20" s="14" t="s">
        <v>136</v>
      </c>
      <c r="P20" s="14" t="s">
        <v>136</v>
      </c>
      <c r="Q20" s="14" t="s">
        <v>49</v>
      </c>
      <c r="R20" s="14" t="s">
        <v>49</v>
      </c>
      <c r="S20" s="14" t="s">
        <v>82</v>
      </c>
      <c r="T20" s="14" t="s">
        <v>82</v>
      </c>
      <c r="U20" s="14" t="s">
        <v>87</v>
      </c>
      <c r="V20" s="14" t="s">
        <v>83</v>
      </c>
    </row>
    <row r="21" spans="1:22" x14ac:dyDescent="0.2">
      <c r="A21" s="47" t="s">
        <v>27</v>
      </c>
      <c r="B21" s="14">
        <v>13</v>
      </c>
      <c r="C21" s="15" t="s">
        <v>230</v>
      </c>
      <c r="D21" s="16" t="s">
        <v>231</v>
      </c>
      <c r="E21" s="17" t="s">
        <v>136</v>
      </c>
      <c r="F21" s="14" t="s">
        <v>49</v>
      </c>
      <c r="G21" s="14" t="s">
        <v>91</v>
      </c>
      <c r="H21" s="14" t="s">
        <v>232</v>
      </c>
      <c r="I21" s="14" t="s">
        <v>84</v>
      </c>
      <c r="J21" s="14" t="s">
        <v>233</v>
      </c>
      <c r="K21" s="14" t="s">
        <v>171</v>
      </c>
      <c r="L21" s="18"/>
      <c r="M21" s="19" t="s">
        <v>234</v>
      </c>
      <c r="N21" s="14" t="s">
        <v>136</v>
      </c>
      <c r="O21" s="14" t="s">
        <v>136</v>
      </c>
      <c r="P21" s="14" t="s">
        <v>136</v>
      </c>
      <c r="Q21" s="14" t="s">
        <v>49</v>
      </c>
      <c r="R21" s="14" t="s">
        <v>49</v>
      </c>
      <c r="S21" s="14" t="s">
        <v>49</v>
      </c>
      <c r="T21" s="14" t="s">
        <v>91</v>
      </c>
      <c r="U21" s="14" t="s">
        <v>235</v>
      </c>
      <c r="V21" s="14" t="s">
        <v>232</v>
      </c>
    </row>
  </sheetData>
  <conditionalFormatting sqref="A9:A21">
    <cfRule type="expression" dxfId="24" priority="1" stopIfTrue="1">
      <formula>$A9="OK"</formula>
    </cfRule>
    <cfRule type="expression" dxfId="23" priority="2">
      <formula>$A9="VERIFICA"</formula>
    </cfRule>
    <cfRule type="expression" dxfId="22" priority="3">
      <formula>$A9="NO"</formula>
    </cfRule>
  </conditionalFormatting>
  <hyperlinks>
    <hyperlink ref="M9" r:id="rId1" xr:uid="{00000000-0004-0000-0200-000000000000}"/>
    <hyperlink ref="M10" r:id="rId2" xr:uid="{00000000-0004-0000-0200-000001000000}"/>
    <hyperlink ref="M11" r:id="rId3" xr:uid="{00000000-0004-0000-0200-000002000000}"/>
    <hyperlink ref="M12" r:id="rId4" xr:uid="{00000000-0004-0000-0200-000003000000}"/>
    <hyperlink ref="M13" r:id="rId5" xr:uid="{00000000-0004-0000-0200-000004000000}"/>
    <hyperlink ref="M14" r:id="rId6" xr:uid="{00000000-0004-0000-0200-000005000000}"/>
    <hyperlink ref="M15" r:id="rId7" xr:uid="{00000000-0004-0000-0200-000006000000}"/>
    <hyperlink ref="M16" r:id="rId8" xr:uid="{00000000-0004-0000-0200-000007000000}"/>
    <hyperlink ref="M17" r:id="rId9" xr:uid="{00000000-0004-0000-0200-000008000000}"/>
    <hyperlink ref="M18" r:id="rId10" xr:uid="{00000000-0004-0000-0200-000009000000}"/>
    <hyperlink ref="M19" r:id="rId11" xr:uid="{00000000-0004-0000-0200-00000A000000}"/>
    <hyperlink ref="M20" r:id="rId12" xr:uid="{00000000-0004-0000-0200-00000B000000}"/>
    <hyperlink ref="M21" r:id="rId13" xr:uid="{00000000-0004-0000-0200-00000C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P39"/>
  <sheetViews>
    <sheetView tabSelected="1" topLeftCell="A14" workbookViewId="0">
      <selection activeCell="N24" sqref="N24"/>
    </sheetView>
  </sheetViews>
  <sheetFormatPr baseColWidth="10" defaultColWidth="9.1640625" defaultRowHeight="15" x14ac:dyDescent="0.2"/>
  <cols>
    <col min="1" max="1" width="5" style="22" customWidth="1"/>
    <col min="2" max="2" width="3.6640625" style="22" customWidth="1"/>
    <col min="3" max="3" width="3.83203125" style="23" customWidth="1"/>
    <col min="4" max="4" width="21" style="22" bestFit="1" customWidth="1"/>
    <col min="5" max="5" width="19.5" style="22" customWidth="1"/>
    <col min="6" max="6" width="13.1640625" style="23" bestFit="1" customWidth="1"/>
    <col min="7" max="7" width="7.5" style="23" customWidth="1"/>
    <col min="8" max="8" width="7.33203125" style="23" customWidth="1"/>
    <col min="9" max="9" width="6.5" style="23" bestFit="1" customWidth="1"/>
    <col min="10" max="10" width="14.5" style="22" customWidth="1"/>
    <col min="11" max="11" width="8" style="22" customWidth="1"/>
    <col min="12" max="12" width="7.6640625" style="22" customWidth="1"/>
    <col min="13" max="13" width="7.1640625" style="23" customWidth="1"/>
    <col min="14" max="14" width="9" style="23" customWidth="1"/>
    <col min="15" max="15" width="9.1640625" style="22" customWidth="1"/>
    <col min="16" max="16384" width="9.1640625" style="22"/>
  </cols>
  <sheetData>
    <row r="1" spans="2:16" ht="24.75" customHeight="1" x14ac:dyDescent="0.2">
      <c r="C1" s="48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2:16" ht="24.75" customHeight="1" x14ac:dyDescent="0.2">
      <c r="B2" s="42"/>
      <c r="C2" s="39"/>
      <c r="D2" s="41" t="s">
        <v>0</v>
      </c>
      <c r="E2" s="41" t="s">
        <v>1</v>
      </c>
      <c r="F2" s="41" t="s">
        <v>2</v>
      </c>
      <c r="G2" s="40"/>
      <c r="H2" s="39"/>
      <c r="I2" s="39"/>
      <c r="J2" s="39"/>
      <c r="K2" s="39"/>
      <c r="L2" s="39"/>
      <c r="M2" s="39"/>
      <c r="N2" s="39"/>
    </row>
    <row r="3" spans="2:16" ht="24.75" customHeight="1" x14ac:dyDescent="0.2">
      <c r="B3" s="38"/>
      <c r="C3" s="36"/>
      <c r="D3" s="37"/>
      <c r="E3" s="36"/>
      <c r="F3" s="29"/>
      <c r="G3" s="35"/>
      <c r="H3" s="29"/>
      <c r="I3" s="29"/>
      <c r="J3" s="29"/>
      <c r="K3" s="29"/>
      <c r="L3" s="29"/>
      <c r="M3" s="29"/>
      <c r="N3" s="29"/>
    </row>
    <row r="4" spans="2:16" s="31" customFormat="1" ht="27.75" customHeight="1" x14ac:dyDescent="0.2">
      <c r="B4" s="34"/>
      <c r="C4" s="32" t="s">
        <v>3</v>
      </c>
      <c r="D4" s="32" t="s">
        <v>4</v>
      </c>
      <c r="E4" s="32" t="s">
        <v>5</v>
      </c>
      <c r="F4" s="32" t="s">
        <v>6</v>
      </c>
      <c r="G4" s="33" t="s">
        <v>7</v>
      </c>
      <c r="H4" s="32" t="s">
        <v>8</v>
      </c>
      <c r="I4" s="32" t="s">
        <v>9</v>
      </c>
      <c r="J4" s="32" t="s">
        <v>10</v>
      </c>
      <c r="K4" s="32" t="s">
        <v>11</v>
      </c>
      <c r="L4" s="32" t="s">
        <v>12</v>
      </c>
      <c r="M4" s="32" t="s">
        <v>13</v>
      </c>
      <c r="N4" s="32" t="s">
        <v>14</v>
      </c>
      <c r="O4" s="32" t="s">
        <v>239</v>
      </c>
      <c r="P4" s="32" t="s">
        <v>240</v>
      </c>
    </row>
    <row r="5" spans="2:16" x14ac:dyDescent="0.2">
      <c r="B5" s="25"/>
      <c r="C5" s="24"/>
      <c r="D5" s="25"/>
      <c r="E5" s="25"/>
      <c r="F5" s="24"/>
      <c r="G5" s="24"/>
      <c r="H5" s="24"/>
      <c r="I5" s="24"/>
      <c r="J5" s="25"/>
      <c r="K5" s="24"/>
      <c r="L5" s="24"/>
      <c r="M5" s="24"/>
      <c r="N5" s="26"/>
      <c r="O5" s="25"/>
      <c r="P5" s="24"/>
    </row>
    <row r="6" spans="2:16" x14ac:dyDescent="0.2">
      <c r="B6" s="25"/>
      <c r="C6" s="24"/>
      <c r="D6" s="50"/>
      <c r="E6" s="50"/>
      <c r="F6" s="24"/>
      <c r="G6" s="24"/>
      <c r="H6" s="24"/>
      <c r="I6" s="24"/>
      <c r="J6" s="25"/>
      <c r="K6" s="24"/>
      <c r="L6" s="24"/>
      <c r="M6" s="24"/>
      <c r="N6" s="26"/>
      <c r="O6" s="25"/>
      <c r="P6" s="24"/>
    </row>
    <row r="7" spans="2:16" x14ac:dyDescent="0.2">
      <c r="B7" s="25"/>
      <c r="C7" s="24"/>
      <c r="D7" s="25"/>
      <c r="E7" s="25"/>
      <c r="F7" s="24"/>
      <c r="G7" s="24"/>
      <c r="H7" s="24"/>
      <c r="I7" s="24"/>
      <c r="J7" s="25"/>
      <c r="K7" s="24"/>
      <c r="L7" s="24"/>
      <c r="M7" s="24"/>
      <c r="N7" s="26"/>
      <c r="O7" s="25"/>
      <c r="P7" s="24"/>
    </row>
    <row r="8" spans="2:16" x14ac:dyDescent="0.2">
      <c r="B8" s="25"/>
      <c r="C8" s="24"/>
      <c r="D8" s="25"/>
      <c r="E8" s="25"/>
      <c r="F8" s="24"/>
      <c r="G8" s="24"/>
      <c r="H8" s="24"/>
      <c r="I8" s="24"/>
      <c r="J8" s="25"/>
      <c r="K8" s="24"/>
      <c r="L8" s="24"/>
      <c r="M8" s="24"/>
      <c r="N8" s="26"/>
      <c r="O8" s="25"/>
      <c r="P8" s="24"/>
    </row>
    <row r="9" spans="2:16" x14ac:dyDescent="0.2">
      <c r="B9" s="25"/>
      <c r="C9" s="24"/>
      <c r="D9" s="25"/>
      <c r="E9" s="25"/>
      <c r="F9" s="24"/>
      <c r="G9" s="24"/>
      <c r="H9" s="24"/>
      <c r="I9" s="24"/>
      <c r="J9" s="25"/>
      <c r="K9" s="24"/>
      <c r="L9" s="24"/>
      <c r="M9" s="24"/>
      <c r="N9" s="26"/>
      <c r="O9" s="25"/>
      <c r="P9" s="24"/>
    </row>
    <row r="10" spans="2:16" x14ac:dyDescent="0.2">
      <c r="B10" s="25"/>
      <c r="C10" s="24"/>
      <c r="D10" s="25"/>
      <c r="E10" s="25"/>
      <c r="F10" s="24"/>
      <c r="G10" s="24"/>
      <c r="H10" s="24"/>
      <c r="I10" s="24"/>
      <c r="J10" s="25"/>
      <c r="K10" s="24"/>
      <c r="L10" s="24"/>
      <c r="M10" s="24"/>
      <c r="N10" s="26"/>
      <c r="O10" s="25"/>
      <c r="P10" s="24"/>
    </row>
    <row r="11" spans="2:16" x14ac:dyDescent="0.2">
      <c r="B11" s="25"/>
      <c r="C11" s="24"/>
      <c r="D11" s="25"/>
      <c r="E11" s="25"/>
      <c r="F11" s="24"/>
      <c r="G11" s="24"/>
      <c r="H11" s="24"/>
      <c r="I11" s="24"/>
      <c r="J11" s="25"/>
      <c r="K11" s="24"/>
      <c r="L11" s="24"/>
      <c r="M11" s="24"/>
      <c r="N11" s="26"/>
      <c r="O11" s="25"/>
      <c r="P11" s="24"/>
    </row>
    <row r="12" spans="2:16" x14ac:dyDescent="0.2">
      <c r="B12" s="25"/>
      <c r="C12" s="24"/>
      <c r="D12" s="25"/>
      <c r="E12" s="25"/>
      <c r="F12" s="24"/>
      <c r="G12" s="24"/>
      <c r="H12" s="24"/>
      <c r="I12" s="24"/>
      <c r="J12" s="25"/>
      <c r="K12" s="24"/>
      <c r="L12" s="24"/>
      <c r="M12" s="24"/>
      <c r="N12" s="26"/>
      <c r="O12" s="25"/>
      <c r="P12" s="24"/>
    </row>
    <row r="13" spans="2:16" x14ac:dyDescent="0.2">
      <c r="B13" s="25"/>
      <c r="C13" s="24"/>
      <c r="D13" s="25"/>
      <c r="E13" s="25"/>
      <c r="F13" s="24"/>
      <c r="G13" s="24"/>
      <c r="H13" s="24"/>
      <c r="I13" s="24"/>
      <c r="J13" s="25"/>
      <c r="K13" s="24"/>
      <c r="L13" s="24"/>
      <c r="M13" s="24"/>
      <c r="N13" s="26"/>
      <c r="O13" s="25"/>
      <c r="P13" s="24"/>
    </row>
    <row r="14" spans="2:16" x14ac:dyDescent="0.2">
      <c r="B14" s="25"/>
      <c r="C14" s="24"/>
      <c r="D14" s="25"/>
      <c r="E14" s="25"/>
      <c r="F14" s="24"/>
      <c r="G14" s="24"/>
      <c r="H14" s="24"/>
      <c r="I14" s="24"/>
      <c r="J14" s="25"/>
      <c r="K14" s="24"/>
      <c r="L14" s="24"/>
      <c r="M14" s="24"/>
      <c r="N14" s="26"/>
      <c r="O14" s="25"/>
      <c r="P14" s="24"/>
    </row>
    <row r="15" spans="2:16" x14ac:dyDescent="0.2">
      <c r="B15" s="25"/>
      <c r="C15" s="24"/>
      <c r="D15" s="25"/>
      <c r="E15" s="25"/>
      <c r="F15" s="24"/>
      <c r="G15" s="24"/>
      <c r="H15" s="24"/>
      <c r="I15" s="24"/>
      <c r="J15" s="25"/>
      <c r="K15" s="24"/>
      <c r="L15" s="24"/>
      <c r="M15" s="24"/>
      <c r="N15" s="26"/>
      <c r="O15" s="25"/>
      <c r="P15" s="24"/>
    </row>
    <row r="16" spans="2:16" x14ac:dyDescent="0.2">
      <c r="B16" s="25"/>
      <c r="C16" s="24"/>
      <c r="D16" s="25"/>
      <c r="E16" s="25"/>
      <c r="F16" s="24"/>
      <c r="G16" s="24"/>
      <c r="H16" s="24"/>
      <c r="I16" s="24"/>
      <c r="J16" s="25"/>
      <c r="K16" s="24"/>
      <c r="L16" s="24"/>
      <c r="M16" s="24"/>
      <c r="N16" s="26"/>
      <c r="O16" s="25"/>
      <c r="P16" s="24"/>
    </row>
    <row r="17" spans="2:16" x14ac:dyDescent="0.2">
      <c r="B17" s="25"/>
      <c r="C17" s="24"/>
      <c r="D17" s="25"/>
      <c r="E17" s="25"/>
      <c r="F17" s="24"/>
      <c r="G17" s="24"/>
      <c r="H17" s="24"/>
      <c r="I17" s="24"/>
      <c r="J17" s="25"/>
      <c r="K17" s="24"/>
      <c r="L17" s="24"/>
      <c r="M17" s="24"/>
      <c r="N17" s="26"/>
      <c r="O17" s="25"/>
      <c r="P17" s="24"/>
    </row>
    <row r="18" spans="2:16" x14ac:dyDescent="0.2">
      <c r="B18" s="25"/>
      <c r="C18" s="24"/>
      <c r="D18" s="25"/>
      <c r="E18" s="25"/>
      <c r="F18" s="24"/>
      <c r="G18" s="24"/>
      <c r="H18" s="24"/>
      <c r="I18" s="24"/>
      <c r="J18" s="25"/>
      <c r="K18" s="24"/>
      <c r="L18" s="24"/>
      <c r="M18" s="24"/>
      <c r="N18" s="26"/>
      <c r="O18" s="25"/>
      <c r="P18" s="24"/>
    </row>
    <row r="19" spans="2:16" x14ac:dyDescent="0.2">
      <c r="B19" s="25"/>
      <c r="C19" s="24"/>
      <c r="D19" s="25"/>
      <c r="E19" s="25"/>
      <c r="F19" s="24"/>
      <c r="G19" s="24"/>
      <c r="H19" s="24"/>
      <c r="I19" s="24"/>
      <c r="J19" s="25"/>
      <c r="K19" s="24"/>
      <c r="L19" s="24"/>
      <c r="M19" s="24"/>
      <c r="N19" s="26"/>
      <c r="O19" s="25"/>
      <c r="P19" s="24"/>
    </row>
    <row r="20" spans="2:16" x14ac:dyDescent="0.2">
      <c r="B20" s="25"/>
      <c r="C20" s="24"/>
      <c r="D20" s="25"/>
      <c r="E20" s="25"/>
      <c r="F20" s="24"/>
      <c r="G20" s="24"/>
      <c r="H20" s="24"/>
      <c r="I20" s="24"/>
      <c r="J20" s="25"/>
      <c r="K20" s="24"/>
      <c r="L20" s="24"/>
      <c r="M20" s="24"/>
      <c r="N20" s="26"/>
      <c r="O20" s="25"/>
      <c r="P20" s="24"/>
    </row>
    <row r="21" spans="2:16" x14ac:dyDescent="0.2">
      <c r="K21" s="23"/>
      <c r="L21" s="23"/>
      <c r="N21" s="30"/>
    </row>
    <row r="22" spans="2:16" ht="27.75" customHeight="1" x14ac:dyDescent="0.2">
      <c r="C22" s="48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</row>
    <row r="23" spans="2:16" s="23" customFormat="1" ht="32" customHeight="1" x14ac:dyDescent="0.2">
      <c r="B23" s="28"/>
      <c r="C23" s="27" t="s">
        <v>3</v>
      </c>
      <c r="D23" s="32" t="s">
        <v>4</v>
      </c>
      <c r="E23" s="32" t="s">
        <v>5</v>
      </c>
      <c r="F23" s="32" t="s">
        <v>6</v>
      </c>
      <c r="G23" s="32" t="s">
        <v>7</v>
      </c>
      <c r="H23" s="32" t="s">
        <v>8</v>
      </c>
      <c r="I23" s="33" t="s">
        <v>9</v>
      </c>
      <c r="J23" s="32" t="s">
        <v>15</v>
      </c>
      <c r="K23" s="32" t="s">
        <v>11</v>
      </c>
      <c r="L23" s="32" t="s">
        <v>16</v>
      </c>
      <c r="M23" s="32" t="s">
        <v>13</v>
      </c>
      <c r="N23" s="32" t="s">
        <v>14</v>
      </c>
      <c r="O23" s="32" t="s">
        <v>239</v>
      </c>
      <c r="P23" s="32" t="s">
        <v>240</v>
      </c>
    </row>
    <row r="24" spans="2:16" x14ac:dyDescent="0.2">
      <c r="B24" s="25"/>
      <c r="C24" s="24"/>
      <c r="D24" s="25"/>
      <c r="E24" s="25"/>
      <c r="F24" s="24"/>
      <c r="G24" s="24"/>
      <c r="H24" s="24"/>
      <c r="I24" s="24"/>
      <c r="J24" s="25"/>
      <c r="K24" s="24"/>
      <c r="L24" s="24"/>
      <c r="M24" s="24"/>
      <c r="N24" s="26"/>
      <c r="O24" s="25"/>
      <c r="P24" s="24"/>
    </row>
    <row r="25" spans="2:16" x14ac:dyDescent="0.2">
      <c r="B25" s="25"/>
      <c r="C25" s="24"/>
      <c r="D25" s="50"/>
      <c r="E25" s="50"/>
      <c r="F25" s="24"/>
      <c r="G25" s="24"/>
      <c r="H25" s="24"/>
      <c r="I25" s="24"/>
      <c r="J25" s="25"/>
      <c r="K25" s="24"/>
      <c r="L25" s="24"/>
      <c r="M25" s="24"/>
      <c r="N25" s="26"/>
      <c r="O25" s="25"/>
      <c r="P25" s="24"/>
    </row>
    <row r="26" spans="2:16" x14ac:dyDescent="0.2">
      <c r="B26" s="25"/>
      <c r="C26" s="24"/>
      <c r="D26" s="25"/>
      <c r="E26" s="25"/>
      <c r="F26" s="24"/>
      <c r="G26" s="24"/>
      <c r="H26" s="24"/>
      <c r="I26" s="24"/>
      <c r="J26" s="25"/>
      <c r="K26" s="24"/>
      <c r="L26" s="24"/>
      <c r="M26" s="24"/>
      <c r="N26" s="26"/>
      <c r="O26" s="25"/>
      <c r="P26" s="24"/>
    </row>
    <row r="27" spans="2:16" x14ac:dyDescent="0.2">
      <c r="B27" s="25"/>
      <c r="C27" s="24"/>
      <c r="D27" s="25"/>
      <c r="E27" s="25"/>
      <c r="F27" s="24"/>
      <c r="G27" s="24"/>
      <c r="H27" s="24"/>
      <c r="I27" s="24"/>
      <c r="J27" s="25"/>
      <c r="K27" s="24"/>
      <c r="L27" s="24"/>
      <c r="M27" s="24"/>
      <c r="N27" s="26"/>
      <c r="O27" s="25"/>
      <c r="P27" s="24"/>
    </row>
    <row r="28" spans="2:16" x14ac:dyDescent="0.2">
      <c r="B28" s="25"/>
      <c r="C28" s="24"/>
      <c r="D28" s="25"/>
      <c r="E28" s="25"/>
      <c r="F28" s="24"/>
      <c r="G28" s="24"/>
      <c r="H28" s="24"/>
      <c r="I28" s="24"/>
      <c r="J28" s="25"/>
      <c r="K28" s="24"/>
      <c r="L28" s="24"/>
      <c r="M28" s="24"/>
      <c r="N28" s="26"/>
      <c r="O28" s="25"/>
      <c r="P28" s="24"/>
    </row>
    <row r="29" spans="2:16" x14ac:dyDescent="0.2">
      <c r="B29" s="25"/>
      <c r="C29" s="24"/>
      <c r="D29" s="25"/>
      <c r="E29" s="25"/>
      <c r="F29" s="24"/>
      <c r="G29" s="24"/>
      <c r="H29" s="24"/>
      <c r="I29" s="24"/>
      <c r="J29" s="25"/>
      <c r="K29" s="24"/>
      <c r="L29" s="24"/>
      <c r="M29" s="24"/>
      <c r="N29" s="26"/>
      <c r="O29" s="25"/>
      <c r="P29" s="24"/>
    </row>
    <row r="30" spans="2:16" x14ac:dyDescent="0.2">
      <c r="B30" s="25"/>
      <c r="C30" s="24"/>
      <c r="D30" s="25"/>
      <c r="E30" s="25"/>
      <c r="F30" s="24"/>
      <c r="G30" s="24"/>
      <c r="H30" s="24"/>
      <c r="I30" s="24"/>
      <c r="J30" s="25"/>
      <c r="K30" s="24"/>
      <c r="L30" s="24"/>
      <c r="M30" s="24"/>
      <c r="N30" s="26"/>
      <c r="O30" s="25"/>
      <c r="P30" s="24"/>
    </row>
    <row r="31" spans="2:16" x14ac:dyDescent="0.2">
      <c r="B31" s="25"/>
      <c r="C31" s="24"/>
      <c r="D31" s="25"/>
      <c r="E31" s="25"/>
      <c r="F31" s="24"/>
      <c r="G31" s="24"/>
      <c r="H31" s="24"/>
      <c r="I31" s="24"/>
      <c r="J31" s="25"/>
      <c r="K31" s="24"/>
      <c r="L31" s="24"/>
      <c r="M31" s="24"/>
      <c r="N31" s="26"/>
      <c r="O31" s="25"/>
      <c r="P31" s="24"/>
    </row>
    <row r="32" spans="2:16" x14ac:dyDescent="0.2">
      <c r="B32" s="25"/>
      <c r="C32" s="24"/>
      <c r="D32" s="25"/>
      <c r="E32" s="25"/>
      <c r="F32" s="24"/>
      <c r="G32" s="24"/>
      <c r="H32" s="24"/>
      <c r="I32" s="24"/>
      <c r="J32" s="25"/>
      <c r="K32" s="24"/>
      <c r="L32" s="24"/>
      <c r="M32" s="24"/>
      <c r="N32" s="26"/>
      <c r="O32" s="25"/>
      <c r="P32" s="24"/>
    </row>
    <row r="33" spans="2:16" x14ac:dyDescent="0.2">
      <c r="B33" s="25"/>
      <c r="C33" s="24"/>
      <c r="D33" s="25"/>
      <c r="E33" s="25"/>
      <c r="F33" s="24"/>
      <c r="G33" s="24"/>
      <c r="H33" s="24"/>
      <c r="I33" s="24"/>
      <c r="J33" s="25"/>
      <c r="K33" s="24"/>
      <c r="L33" s="24"/>
      <c r="M33" s="24"/>
      <c r="N33" s="26"/>
      <c r="O33" s="25"/>
      <c r="P33" s="24"/>
    </row>
    <row r="34" spans="2:16" x14ac:dyDescent="0.2">
      <c r="B34" s="25"/>
      <c r="C34" s="24"/>
      <c r="D34" s="25"/>
      <c r="E34" s="25"/>
      <c r="F34" s="24"/>
      <c r="G34" s="24"/>
      <c r="H34" s="24"/>
      <c r="I34" s="24"/>
      <c r="J34" s="25"/>
      <c r="K34" s="24"/>
      <c r="L34" s="24"/>
      <c r="M34" s="24"/>
      <c r="N34" s="26"/>
      <c r="O34" s="25"/>
      <c r="P34" s="24"/>
    </row>
    <row r="35" spans="2:16" x14ac:dyDescent="0.2">
      <c r="B35" s="25"/>
      <c r="C35" s="24"/>
      <c r="D35" s="25"/>
      <c r="E35" s="25"/>
      <c r="F35" s="24"/>
      <c r="G35" s="24"/>
      <c r="H35" s="24"/>
      <c r="I35" s="24"/>
      <c r="J35" s="25"/>
      <c r="K35" s="24"/>
      <c r="L35" s="24"/>
      <c r="M35" s="24"/>
      <c r="N35" s="26"/>
      <c r="O35" s="25"/>
      <c r="P35" s="24"/>
    </row>
    <row r="36" spans="2:16" x14ac:dyDescent="0.2">
      <c r="B36" s="25"/>
      <c r="C36" s="24"/>
      <c r="D36" s="25"/>
      <c r="E36" s="25"/>
      <c r="F36" s="24"/>
      <c r="G36" s="24"/>
      <c r="H36" s="24"/>
      <c r="I36" s="24"/>
      <c r="J36" s="25"/>
      <c r="K36" s="24"/>
      <c r="L36" s="24"/>
      <c r="M36" s="24"/>
      <c r="N36" s="26"/>
      <c r="O36" s="25"/>
      <c r="P36" s="24"/>
    </row>
    <row r="37" spans="2:16" x14ac:dyDescent="0.2">
      <c r="B37" s="25"/>
      <c r="C37" s="24"/>
      <c r="D37" s="25"/>
      <c r="E37" s="25"/>
      <c r="F37" s="24"/>
      <c r="G37" s="24"/>
      <c r="H37" s="24"/>
      <c r="I37" s="24"/>
      <c r="J37" s="25"/>
      <c r="K37" s="24"/>
      <c r="L37" s="24"/>
      <c r="M37" s="24"/>
      <c r="N37" s="26"/>
      <c r="O37" s="25"/>
      <c r="P37" s="24"/>
    </row>
    <row r="38" spans="2:16" x14ac:dyDescent="0.2">
      <c r="B38" s="25"/>
      <c r="C38" s="24"/>
      <c r="D38" s="25"/>
      <c r="E38" s="25"/>
      <c r="F38" s="24"/>
      <c r="G38" s="24"/>
      <c r="H38" s="24"/>
      <c r="I38" s="24"/>
      <c r="J38" s="25"/>
      <c r="K38" s="24"/>
      <c r="L38" s="24"/>
      <c r="M38" s="24"/>
      <c r="N38" s="26"/>
      <c r="O38" s="25"/>
      <c r="P38" s="24"/>
    </row>
    <row r="39" spans="2:16" x14ac:dyDescent="0.2">
      <c r="B39" s="25"/>
      <c r="C39" s="24"/>
      <c r="D39" s="25"/>
      <c r="E39" s="25"/>
      <c r="F39" s="24"/>
      <c r="G39" s="24"/>
      <c r="H39" s="24"/>
      <c r="I39" s="24"/>
      <c r="J39" s="25"/>
      <c r="K39" s="24"/>
      <c r="L39" s="24"/>
      <c r="M39" s="24"/>
      <c r="N39" s="26"/>
      <c r="O39" s="25"/>
      <c r="P39" s="24"/>
    </row>
  </sheetData>
  <mergeCells count="2">
    <mergeCell ref="C22:N22"/>
    <mergeCell ref="C1:N1"/>
  </mergeCells>
  <conditionalFormatting sqref="B5:N20">
    <cfRule type="expression" dxfId="20" priority="19">
      <formula>OR($B5="X",$B5="Si")</formula>
    </cfRule>
  </conditionalFormatting>
  <conditionalFormatting sqref="N5:N20">
    <cfRule type="expression" dxfId="18" priority="15">
      <formula>$N5&lt;&gt;"Valido"</formula>
    </cfRule>
  </conditionalFormatting>
  <conditionalFormatting sqref="O5:P20">
    <cfRule type="expression" dxfId="15" priority="12">
      <formula>OR($B5="X",$B5="Si")</formula>
    </cfRule>
  </conditionalFormatting>
  <conditionalFormatting sqref="O5:O20">
    <cfRule type="expression" dxfId="13" priority="10">
      <formula>$O5="Si"</formula>
    </cfRule>
  </conditionalFormatting>
  <conditionalFormatting sqref="B5:P20">
    <cfRule type="expression" dxfId="12" priority="9">
      <formula>$P5="No"</formula>
    </cfRule>
  </conditionalFormatting>
  <conditionalFormatting sqref="B24:N39">
    <cfRule type="expression" dxfId="4" priority="5">
      <formula>OR($B24="X",$B24="Si")</formula>
    </cfRule>
  </conditionalFormatting>
  <conditionalFormatting sqref="N24:N39">
    <cfRule type="expression" dxfId="3" priority="4">
      <formula>$N24&lt;&gt;"Valido"</formula>
    </cfRule>
  </conditionalFormatting>
  <conditionalFormatting sqref="O24:P39">
    <cfRule type="expression" dxfId="2" priority="3">
      <formula>OR($B24="X",$B24="Si")</formula>
    </cfRule>
  </conditionalFormatting>
  <conditionalFormatting sqref="O24:O39">
    <cfRule type="expression" dxfId="1" priority="2">
      <formula>$O24="Si"</formula>
    </cfRule>
  </conditionalFormatting>
  <conditionalFormatting sqref="B24:P39">
    <cfRule type="expression" dxfId="0" priority="1">
      <formula>$P24="No"</formula>
    </cfRule>
  </conditionalFormatting>
  <pageMargins left="0.35433070866141742" right="0.35433070866141742" top="0.98425196850393704" bottom="0.98425196850393704" header="0.51181102362204722" footer="0.51181102362204722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5</vt:i4>
      </vt:variant>
    </vt:vector>
  </HeadingPairs>
  <TitlesOfParts>
    <vt:vector size="9" baseType="lpstr">
      <vt:lpstr>Riepilogo</vt:lpstr>
      <vt:lpstr>Casa</vt:lpstr>
      <vt:lpstr>Ospite</vt:lpstr>
      <vt:lpstr>foglio CS</vt:lpstr>
      <vt:lpstr>Casa!Area_stampa</vt:lpstr>
      <vt:lpstr>'foglio CS'!Area_stampa</vt:lpstr>
      <vt:lpstr>Ospite!Area_stampa</vt:lpstr>
      <vt:lpstr>Casa!Titoli_stampa</vt:lpstr>
      <vt:lpstr>Ospite!Titoli_stampa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Gagliardi  Nicolo'</cp:lastModifiedBy>
  <cp:revision>0</cp:revision>
  <dcterms:created xsi:type="dcterms:W3CDTF">2026-10-12T10:27:31Z</dcterms:created>
  <dcterms:modified xsi:type="dcterms:W3CDTF">2026-10-15T14:05:16Z</dcterms:modified>
  <dc:language>en-US</dc:language>
</cp:coreProperties>
</file>