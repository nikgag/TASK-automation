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/Users/nico/Desktop/Coding/TASK web app/data/"/>
    </mc:Choice>
  </mc:AlternateContent>
  <xr:revisionPtr revIDLastSave="0" documentId="13_ncr:1_{F7F67C67-AC40-A540-A195-287FFBF6617F}" xr6:coauthVersionLast="47" xr6:coauthVersionMax="47" xr10:uidLastSave="{00000000-0000-0000-0000-000000000000}"/>
  <bookViews>
    <workbookView xWindow="0" yWindow="600" windowWidth="28800" windowHeight="15800" xr2:uid="{4FFFB98F-1C8F-9F4D-877A-B70B5F989F32}"/>
  </bookViews>
  <sheets>
    <sheet name="Programmazi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19" i="1"/>
  <c r="P21" i="1"/>
  <c r="P23" i="1"/>
  <c r="P25" i="1"/>
  <c r="P27" i="1"/>
  <c r="P39" i="1" s="1"/>
  <c r="P29" i="1"/>
  <c r="P31" i="1"/>
  <c r="P33" i="1"/>
  <c r="P35" i="1"/>
  <c r="P37" i="1"/>
  <c r="P13" i="1"/>
  <c r="P15" i="1"/>
  <c r="P11" i="1"/>
  <c r="D9" i="1"/>
  <c r="D10" i="1" s="1"/>
  <c r="E9" i="1"/>
  <c r="E10" i="1" s="1"/>
  <c r="F9" i="1"/>
  <c r="F10" i="1" s="1"/>
  <c r="G9" i="1"/>
  <c r="H9" i="1"/>
  <c r="I9" i="1"/>
  <c r="I10" i="1" s="1"/>
  <c r="J9" i="1"/>
  <c r="K9" i="1"/>
  <c r="K10" i="1" s="1"/>
  <c r="L9" i="1"/>
  <c r="L10" i="1" s="1"/>
  <c r="C9" i="1"/>
  <c r="C10" i="1" s="1"/>
  <c r="B42" i="1"/>
  <c r="Q41" i="1"/>
  <c r="O39" i="1"/>
  <c r="N39" i="1"/>
  <c r="M39" i="1"/>
  <c r="K39" i="1"/>
  <c r="C39" i="1"/>
  <c r="Q37" i="1"/>
  <c r="Q35" i="1"/>
  <c r="Q33" i="1"/>
  <c r="Q31" i="1"/>
  <c r="Q29" i="1"/>
  <c r="Q27" i="1"/>
  <c r="Q25" i="1"/>
  <c r="Q23" i="1"/>
  <c r="D39" i="1"/>
  <c r="Q21" i="1"/>
  <c r="Q19" i="1"/>
  <c r="Q17" i="1"/>
  <c r="Q15" i="1"/>
  <c r="Q13" i="1"/>
  <c r="L39" i="1"/>
  <c r="J39" i="1"/>
  <c r="I39" i="1"/>
  <c r="H39" i="1"/>
  <c r="G39" i="1"/>
  <c r="F39" i="1"/>
  <c r="E39" i="1"/>
  <c r="G10" i="1"/>
  <c r="H10" i="1" l="1"/>
  <c r="J10" i="1"/>
  <c r="B43" i="1"/>
  <c r="Q40" i="1"/>
  <c r="Q11" i="1"/>
  <c r="Q39" i="1" s="1"/>
</calcChain>
</file>

<file path=xl/sharedStrings.xml><?xml version="1.0" encoding="utf-8"?>
<sst xmlns="http://schemas.openxmlformats.org/spreadsheetml/2006/main" count="57" uniqueCount="42">
  <si>
    <t>N° Giorni Torneo</t>
  </si>
  <si>
    <t>Superficie</t>
  </si>
  <si>
    <t>terra</t>
  </si>
  <si>
    <t>1° Orario Fer.</t>
  </si>
  <si>
    <t>Formula SING.</t>
  </si>
  <si>
    <t>2 Set su 3 a 6 Giochi, 3° set Tie Break a 10</t>
  </si>
  <si>
    <t>Indoor / Outdoor</t>
  </si>
  <si>
    <t>Outdoor</t>
  </si>
  <si>
    <t>Ult. Orario Fer.</t>
  </si>
  <si>
    <t>N° Campi Con Luci</t>
  </si>
  <si>
    <t>Formula UNDER</t>
  </si>
  <si>
    <t>2 Set su 3 a 6 giochi, NO-AD, 3° Set MB 10</t>
  </si>
  <si>
    <t>Interv.  SING</t>
  </si>
  <si>
    <t>1.30</t>
  </si>
  <si>
    <t>1^ Orario Fest.</t>
  </si>
  <si>
    <t>N° Campi Senza Luci</t>
  </si>
  <si>
    <t>Ult. Orario Fest.</t>
  </si>
  <si>
    <t>Data</t>
  </si>
  <si>
    <t xml:space="preserve"> Totale Match Categoria</t>
  </si>
  <si>
    <t>Nome Giorno</t>
  </si>
  <si>
    <t>R1</t>
  </si>
  <si>
    <t>R2</t>
  </si>
  <si>
    <t>Tipo Giorno</t>
  </si>
  <si>
    <t>SINGOLARE MASCHILE</t>
  </si>
  <si>
    <t>Iscritti N°</t>
  </si>
  <si>
    <t>Chiusura 4 Categoria</t>
  </si>
  <si>
    <t>Chiusura 3 Categoria</t>
  </si>
  <si>
    <t>SINGOLARE FEMMINILE</t>
  </si>
  <si>
    <t>4.CAT</t>
  </si>
  <si>
    <t>Chiusura NC</t>
  </si>
  <si>
    <t>UNDER 10 MASCHILE</t>
  </si>
  <si>
    <t>UNDER 12 MASCHILE</t>
  </si>
  <si>
    <t>UNDER 14 MASCHILE</t>
  </si>
  <si>
    <t>UNDER 16 MASCHILE</t>
  </si>
  <si>
    <t>UNDER 10 FEMMINILE</t>
  </si>
  <si>
    <t>UNDER 12 FEMMINILE</t>
  </si>
  <si>
    <t>UNDER 14 FEMMINILE</t>
  </si>
  <si>
    <t>Match Totali Giornalieri</t>
  </si>
  <si>
    <t>N.D.</t>
  </si>
  <si>
    <t>ND %</t>
  </si>
  <si>
    <t xml:space="preserve">Pianificazione </t>
  </si>
  <si>
    <t xml:space="preserve"> Totale Match programmati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</si>
</sst>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8"/>
      <name val="Calibri"/>
      <family val="2"/>
    </font>
    <font>
      <sz val="2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.5"/>
      <name val="Calibri"/>
      <family val="2"/>
    </font>
    <font>
      <b/>
      <sz val="11"/>
      <color theme="3" tint="-0.249977111117893"/>
      <name val="Calibri"/>
      <family val="2"/>
    </font>
    <font>
      <sz val="10.5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8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109">
    <xf numFmtId="0" fontId="0" fillId="0" borderId="0" xfId="0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20" fontId="1" fillId="0" borderId="8" xfId="0" applyNumberFormat="1" applyFont="1" applyBorder="1" applyAlignment="1">
      <alignment horizontal="left"/>
    </xf>
    <xf numFmtId="0" fontId="1" fillId="0" borderId="9" xfId="0" applyFont="1" applyBorder="1"/>
    <xf numFmtId="0" fontId="5" fillId="0" borderId="0" xfId="0" applyFont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1" fillId="0" borderId="4" xfId="0" applyFont="1" applyBorder="1"/>
    <xf numFmtId="16" fontId="8" fillId="0" borderId="13" xfId="0" applyNumberFormat="1" applyFont="1" applyBorder="1" applyAlignment="1">
      <alignment vertical="center" wrapText="1"/>
    </xf>
    <xf numFmtId="16" fontId="8" fillId="0" borderId="13" xfId="0" applyNumberFormat="1" applyFont="1" applyBorder="1" applyAlignment="1">
      <alignment horizontal="center" vertical="center" wrapText="1"/>
    </xf>
    <xf numFmtId="16" fontId="8" fillId="0" borderId="14" xfId="0" applyNumberFormat="1" applyFont="1" applyBorder="1" applyAlignment="1">
      <alignment vertical="center" wrapText="1"/>
    </xf>
    <xf numFmtId="16" fontId="8" fillId="0" borderId="8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wrapText="1"/>
    </xf>
    <xf numFmtId="0" fontId="4" fillId="0" borderId="1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0" fillId="5" borderId="21" xfId="0" applyFill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3" xfId="0" applyFill="1" applyBorder="1" applyAlignment="1">
      <alignment wrapText="1"/>
    </xf>
    <xf numFmtId="0" fontId="0" fillId="6" borderId="6" xfId="0" applyFill="1" applyBorder="1" applyAlignment="1">
      <alignment horizontal="center" vertical="center" wrapText="1"/>
    </xf>
    <xf numFmtId="0" fontId="0" fillId="6" borderId="21" xfId="0" applyFill="1" applyBorder="1" applyAlignment="1">
      <alignment wrapText="1"/>
    </xf>
    <xf numFmtId="0" fontId="13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20" fontId="4" fillId="7" borderId="5" xfId="0" applyNumberFormat="1" applyFont="1" applyFill="1" applyBorder="1" applyAlignment="1">
      <alignment horizontal="left"/>
    </xf>
    <xf numFmtId="20" fontId="1" fillId="7" borderId="7" xfId="0" applyNumberFormat="1" applyFont="1" applyFill="1" applyBorder="1" applyAlignment="1">
      <alignment horizontal="left"/>
    </xf>
    <xf numFmtId="0" fontId="5" fillId="0" borderId="15" xfId="0" applyFont="1" applyBorder="1" applyAlignment="1">
      <alignment horizontal="center" vertical="center" wrapText="1"/>
    </xf>
    <xf numFmtId="0" fontId="0" fillId="0" borderId="20" xfId="0" applyBorder="1"/>
    <xf numFmtId="0" fontId="5" fillId="0" borderId="27" xfId="0" applyFont="1" applyBorder="1" applyAlignment="1">
      <alignment horizontal="center" vertical="center" wrapText="1"/>
    </xf>
    <xf numFmtId="0" fontId="0" fillId="0" borderId="30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11" fillId="6" borderId="13" xfId="0" applyFont="1" applyFill="1" applyBorder="1" applyAlignment="1">
      <alignment horizontal="center" vertical="center" wrapText="1"/>
    </xf>
    <xf numFmtId="0" fontId="0" fillId="0" borderId="13" xfId="0" applyBorder="1"/>
    <xf numFmtId="0" fontId="4" fillId="0" borderId="5" xfId="0" applyFont="1" applyBorder="1" applyAlignment="1">
      <alignment horizontal="center" vertical="center" wrapText="1"/>
    </xf>
    <xf numFmtId="0" fontId="0" fillId="0" borderId="22" xfId="0" applyBorder="1"/>
    <xf numFmtId="0" fontId="11" fillId="0" borderId="27" xfId="0" applyFont="1" applyBorder="1" applyAlignment="1">
      <alignment horizontal="center" vertical="center" wrapText="1"/>
    </xf>
    <xf numFmtId="0" fontId="0" fillId="0" borderId="2" xfId="0" applyBorder="1"/>
    <xf numFmtId="0" fontId="0" fillId="0" borderId="29" xfId="0" applyBorder="1"/>
    <xf numFmtId="0" fontId="4" fillId="0" borderId="3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1" fillId="4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26" xfId="0" applyBorder="1"/>
    <xf numFmtId="0" fontId="11" fillId="2" borderId="6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/>
    <xf numFmtId="16" fontId="8" fillId="0" borderId="15" xfId="0" applyNumberFormat="1" applyFont="1" applyBorder="1" applyAlignment="1">
      <alignment horizontal="center" vertical="center" wrapText="1"/>
    </xf>
    <xf numFmtId="0" fontId="0" fillId="0" borderId="17" xfId="0" applyBorder="1"/>
    <xf numFmtId="0" fontId="1" fillId="0" borderId="16" xfId="0" applyFont="1" applyBorder="1" applyAlignment="1">
      <alignment horizontal="center" vertical="center" wrapText="1"/>
    </xf>
    <xf numFmtId="0" fontId="0" fillId="0" borderId="16" xfId="0" applyBorder="1"/>
    <xf numFmtId="0" fontId="1" fillId="0" borderId="18" xfId="0" applyFont="1" applyBorder="1" applyAlignment="1">
      <alignment horizontal="center" vertical="center" wrapText="1"/>
    </xf>
    <xf numFmtId="0" fontId="0" fillId="0" borderId="18" xfId="0" applyBorder="1"/>
    <xf numFmtId="0" fontId="11" fillId="2" borderId="13" xfId="0" applyFont="1" applyFill="1" applyBorder="1" applyAlignment="1">
      <alignment horizontal="center" vertical="center" wrapText="1"/>
    </xf>
    <xf numFmtId="16" fontId="8" fillId="0" borderId="33" xfId="0" applyNumberFormat="1" applyFont="1" applyBorder="1" applyAlignment="1">
      <alignment horizontal="center" vertical="center" wrapText="1"/>
    </xf>
    <xf numFmtId="16" fontId="8" fillId="0" borderId="8" xfId="0" applyNumberFormat="1" applyFont="1" applyBorder="1" applyAlignment="1">
      <alignment horizontal="center" vertical="center" wrapText="1"/>
    </xf>
    <xf numFmtId="16" fontId="8" fillId="0" borderId="3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5" xfId="0" applyFont="1" applyBorder="1" applyAlignment="1">
      <alignment horizontal="center"/>
    </xf>
    <xf numFmtId="0" fontId="7" fillId="7" borderId="5" xfId="0" applyFont="1" applyFill="1" applyBorder="1" applyAlignment="1">
      <alignment horizontal="left" vertical="center"/>
    </xf>
    <xf numFmtId="0" fontId="0" fillId="7" borderId="9" xfId="0" applyFill="1" applyBorder="1"/>
    <xf numFmtId="0" fontId="0" fillId="7" borderId="6" xfId="0" applyFill="1" applyBorder="1"/>
  </cellXfs>
  <cellStyles count="2">
    <cellStyle name="Normale" xfId="0" builtinId="0"/>
    <cellStyle name="Normale 2" xfId="1" xr:uid="{39ACCB5C-5758-3448-A7FD-979AA4EBB0CA}"/>
  </cellStyles>
  <dxfs count="1"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4E42-1B97-6943-86E0-97F9159EA7E5}">
  <sheetPr codeName="Foglio1"/>
  <dimension ref="A1:R44"/>
  <sheetViews>
    <sheetView tabSelected="1" topLeftCell="A10" workbookViewId="0">
      <selection activeCell="G32" sqref="G32"/>
    </sheetView>
  </sheetViews>
  <sheetFormatPr baseColWidth="10" defaultRowHeight="16" x14ac:dyDescent="0.2"/>
  <cols>
    <col min="1" max="1" width="13" customWidth="1"/>
    <col min="2" max="2" width="8.5" customWidth="1"/>
    <col min="3" max="3" width="6.6640625" customWidth="1"/>
    <col min="4" max="10" width="8.83203125"/>
    <col min="11" max="11" width="8.83203125" style="58" customWidth="1"/>
    <col min="12" max="16" width="8.83203125"/>
    <col min="17" max="17" width="11.83203125" customWidth="1"/>
    <col min="18" max="18" width="0.6640625" customWidth="1"/>
    <col min="19" max="19" width="10.6640625" customWidth="1"/>
  </cols>
  <sheetData>
    <row r="1" spans="1:18" ht="29" x14ac:dyDescent="0.2">
      <c r="A1" s="1"/>
      <c r="B1" s="1"/>
      <c r="C1" s="103" t="s">
        <v>40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2"/>
    </row>
    <row r="2" spans="1:18" ht="24" x14ac:dyDescent="0.2">
      <c r="A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</row>
    <row r="3" spans="1:18" ht="29" x14ac:dyDescent="0.2">
      <c r="A3" s="101" t="s">
        <v>0</v>
      </c>
      <c r="B3" s="83"/>
      <c r="C3" s="61"/>
      <c r="D3" s="8"/>
      <c r="E3" s="8"/>
      <c r="F3" s="9"/>
      <c r="G3" s="10"/>
      <c r="H3" s="10"/>
      <c r="I3" s="10"/>
      <c r="J3" s="10"/>
      <c r="K3" s="10"/>
      <c r="L3" s="102" t="s">
        <v>1</v>
      </c>
      <c r="M3" s="83"/>
      <c r="N3" s="62" t="s">
        <v>2</v>
      </c>
      <c r="O3" s="102" t="s">
        <v>3</v>
      </c>
      <c r="P3" s="83"/>
      <c r="Q3" s="63">
        <v>0.375</v>
      </c>
      <c r="R3" s="12"/>
    </row>
    <row r="4" spans="1:18" x14ac:dyDescent="0.2">
      <c r="A4" s="13"/>
      <c r="C4" s="14"/>
      <c r="D4" s="14"/>
      <c r="E4" s="105" t="s">
        <v>4</v>
      </c>
      <c r="F4" s="83"/>
      <c r="G4" s="106" t="s">
        <v>5</v>
      </c>
      <c r="H4" s="107"/>
      <c r="I4" s="107"/>
      <c r="J4" s="107"/>
      <c r="K4" s="108"/>
      <c r="L4" s="102" t="s">
        <v>6</v>
      </c>
      <c r="M4" s="83"/>
      <c r="N4" s="62" t="s">
        <v>7</v>
      </c>
      <c r="O4" s="102" t="s">
        <v>8</v>
      </c>
      <c r="P4" s="83"/>
      <c r="Q4" s="63">
        <v>0.85416666666666663</v>
      </c>
      <c r="R4" s="12"/>
    </row>
    <row r="5" spans="1:18" x14ac:dyDescent="0.2">
      <c r="A5" s="101" t="s">
        <v>9</v>
      </c>
      <c r="B5" s="83"/>
      <c r="C5" s="61"/>
      <c r="D5" s="8"/>
      <c r="E5" s="105" t="s">
        <v>10</v>
      </c>
      <c r="F5" s="83"/>
      <c r="G5" s="106" t="s">
        <v>11</v>
      </c>
      <c r="H5" s="107"/>
      <c r="I5" s="107"/>
      <c r="J5" s="107"/>
      <c r="K5" s="108"/>
      <c r="L5" s="102" t="s">
        <v>12</v>
      </c>
      <c r="M5" s="83"/>
      <c r="N5" s="62" t="s">
        <v>13</v>
      </c>
      <c r="O5" s="102" t="s">
        <v>14</v>
      </c>
      <c r="P5" s="83"/>
      <c r="Q5" s="63">
        <v>0.58333333333333337</v>
      </c>
      <c r="R5" s="12"/>
    </row>
    <row r="6" spans="1:18" ht="29" x14ac:dyDescent="0.2">
      <c r="A6" s="101" t="s">
        <v>15</v>
      </c>
      <c r="B6" s="83"/>
      <c r="C6" s="61"/>
      <c r="D6" s="8"/>
      <c r="E6" s="8"/>
      <c r="F6" s="9"/>
      <c r="G6" s="10"/>
      <c r="H6" s="10"/>
      <c r="I6" s="10"/>
      <c r="J6" s="10"/>
      <c r="K6" s="10"/>
      <c r="L6" s="11"/>
      <c r="M6" s="7"/>
      <c r="N6" s="62"/>
      <c r="O6" s="102" t="s">
        <v>16</v>
      </c>
      <c r="P6" s="83"/>
      <c r="Q6" s="63">
        <v>0.85416666666666663</v>
      </c>
      <c r="R6" s="12"/>
    </row>
    <row r="7" spans="1:18" ht="30" thickBot="1" x14ac:dyDescent="0.25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6"/>
      <c r="Q7" s="15"/>
      <c r="R7" s="18"/>
    </row>
    <row r="8" spans="1:18" ht="17" thickBot="1" x14ac:dyDescent="0.25">
      <c r="A8" s="89" t="s">
        <v>17</v>
      </c>
      <c r="B8" s="90"/>
      <c r="C8" s="19">
        <v>45835</v>
      </c>
      <c r="D8" s="19">
        <v>45836</v>
      </c>
      <c r="E8" s="19">
        <v>45837</v>
      </c>
      <c r="F8" s="19">
        <v>45838</v>
      </c>
      <c r="G8" s="19">
        <v>45839</v>
      </c>
      <c r="H8" s="19">
        <v>45840</v>
      </c>
      <c r="I8" s="19">
        <v>45841</v>
      </c>
      <c r="J8" s="19">
        <v>45842</v>
      </c>
      <c r="K8" s="20">
        <v>45843</v>
      </c>
      <c r="L8" s="19">
        <v>45844</v>
      </c>
      <c r="M8" s="21"/>
      <c r="N8" s="21"/>
      <c r="O8" s="21"/>
      <c r="P8" s="98" t="s">
        <v>18</v>
      </c>
      <c r="Q8" s="91" t="s">
        <v>41</v>
      </c>
      <c r="R8" s="22"/>
    </row>
    <row r="9" spans="1:18" x14ac:dyDescent="0.2">
      <c r="A9" s="93" t="s">
        <v>19</v>
      </c>
      <c r="B9" s="94"/>
      <c r="C9" s="23" t="str">
        <f>IF(C8="","",TEXT(C8,"ggg"))</f>
        <v>ven</v>
      </c>
      <c r="D9" s="23" t="str">
        <f t="shared" ref="D9:L9" si="0">IF(D8="","",TEXT(D8,"ggg"))</f>
        <v>sab</v>
      </c>
      <c r="E9" s="23" t="str">
        <f t="shared" si="0"/>
        <v>dom</v>
      </c>
      <c r="F9" s="23" t="str">
        <f t="shared" si="0"/>
        <v>lun</v>
      </c>
      <c r="G9" s="23" t="str">
        <f t="shared" si="0"/>
        <v>mar</v>
      </c>
      <c r="H9" s="23" t="str">
        <f t="shared" si="0"/>
        <v>mer</v>
      </c>
      <c r="I9" s="23" t="str">
        <f t="shared" si="0"/>
        <v>gio</v>
      </c>
      <c r="J9" s="23" t="str">
        <f t="shared" si="0"/>
        <v>ven</v>
      </c>
      <c r="K9" s="23" t="str">
        <f t="shared" si="0"/>
        <v>sab</v>
      </c>
      <c r="L9" s="23" t="str">
        <f t="shared" si="0"/>
        <v>dom</v>
      </c>
      <c r="M9" s="24"/>
      <c r="N9" s="24" t="s">
        <v>20</v>
      </c>
      <c r="O9" s="24" t="s">
        <v>21</v>
      </c>
      <c r="P9" s="99"/>
      <c r="Q9" s="92"/>
      <c r="R9" s="22"/>
    </row>
    <row r="10" spans="1:18" ht="17" thickBot="1" x14ac:dyDescent="0.25">
      <c r="A10" s="95" t="s">
        <v>22</v>
      </c>
      <c r="B10" s="96"/>
      <c r="C10" s="25" t="str">
        <f t="shared" ref="C10:H10" si="1">IF(OR(C9="DOM",C9="SAB"), "Festivo", "Feriale")</f>
        <v>Feriale</v>
      </c>
      <c r="D10" s="25" t="str">
        <f t="shared" si="1"/>
        <v>Festivo</v>
      </c>
      <c r="E10" s="25" t="str">
        <f t="shared" si="1"/>
        <v>Festivo</v>
      </c>
      <c r="F10" s="25" t="str">
        <f t="shared" si="1"/>
        <v>Feriale</v>
      </c>
      <c r="G10" s="25" t="str">
        <f t="shared" si="1"/>
        <v>Feriale</v>
      </c>
      <c r="H10" s="25" t="str">
        <f t="shared" si="1"/>
        <v>Feriale</v>
      </c>
      <c r="I10" s="25" t="str">
        <f>IF(OR(I9="DOM",I9="SAB",I9="SAB 2",I9="DOM 2"), "Festivo", "Feriale")</f>
        <v>Feriale</v>
      </c>
      <c r="J10" s="25" t="str">
        <f>IF(OR(J9="DOM",J9="SAB",J9="SAB 2",J9="DOM 2"), "Festivo", "Feriale")</f>
        <v>Feriale</v>
      </c>
      <c r="K10" s="25" t="str">
        <f>IF(OR(K9="DOM",K9="SAB",K9="SAB 2",K9="DOM 2"), "Festivo", "Feriale")</f>
        <v>Festivo</v>
      </c>
      <c r="L10" s="25" t="str">
        <f>IF(OR(L9="DOM",L9="SAB",L9="SAB 2",L9="DOM 2"), "Festivo", "Feriale")</f>
        <v>Festivo</v>
      </c>
      <c r="M10" s="25"/>
      <c r="N10" s="25"/>
      <c r="O10" s="25"/>
      <c r="P10" s="100"/>
      <c r="Q10" s="65"/>
      <c r="R10" s="22"/>
    </row>
    <row r="11" spans="1:18" x14ac:dyDescent="0.2">
      <c r="A11" s="97" t="s">
        <v>23</v>
      </c>
      <c r="B11" s="72"/>
      <c r="C11" s="26"/>
      <c r="D11" s="26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78">
        <f>B12-1</f>
        <v>-1</v>
      </c>
      <c r="Q11" s="81">
        <f>SUM(C12:P12)</f>
        <v>0</v>
      </c>
      <c r="R11" s="29"/>
    </row>
    <row r="12" spans="1:18" ht="17" thickBot="1" x14ac:dyDescent="0.25">
      <c r="A12" s="30" t="s">
        <v>24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3"/>
      <c r="O12" s="33"/>
      <c r="P12" s="79"/>
      <c r="Q12" s="74"/>
      <c r="R12" s="29"/>
    </row>
    <row r="13" spans="1:18" x14ac:dyDescent="0.2">
      <c r="A13" s="87" t="s">
        <v>25</v>
      </c>
      <c r="B13" s="83"/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28"/>
      <c r="N13" s="28"/>
      <c r="O13" s="28"/>
      <c r="P13" s="78">
        <f t="shared" ref="P13" si="2">B14-1</f>
        <v>-1</v>
      </c>
      <c r="Q13" s="73">
        <f>SUM(C14:P14)</f>
        <v>0</v>
      </c>
      <c r="R13" s="29"/>
    </row>
    <row r="14" spans="1:18" ht="17" thickBot="1" x14ac:dyDescent="0.25">
      <c r="A14" s="30" t="s">
        <v>24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79"/>
      <c r="Q14" s="74"/>
      <c r="R14" s="29"/>
    </row>
    <row r="15" spans="1:18" x14ac:dyDescent="0.2">
      <c r="A15" s="87" t="s">
        <v>26</v>
      </c>
      <c r="B15" s="83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28"/>
      <c r="N15" s="28"/>
      <c r="O15" s="28"/>
      <c r="P15" s="78">
        <f t="shared" ref="P15:P37" si="3">B16-1</f>
        <v>-1</v>
      </c>
      <c r="Q15" s="73">
        <f>SUM(C16:P16)</f>
        <v>0</v>
      </c>
      <c r="R15" s="29"/>
    </row>
    <row r="16" spans="1:18" ht="17" thickBot="1" x14ac:dyDescent="0.25">
      <c r="A16" s="34" t="s">
        <v>24</v>
      </c>
      <c r="B16" s="35"/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79"/>
      <c r="Q16" s="74"/>
      <c r="R16" s="29"/>
    </row>
    <row r="17" spans="1:18" ht="17" thickBot="1" x14ac:dyDescent="0.25">
      <c r="A17" s="88" t="s">
        <v>27</v>
      </c>
      <c r="B17" s="72"/>
      <c r="C17" s="38"/>
      <c r="D17" s="3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78">
        <f t="shared" si="3"/>
        <v>-1</v>
      </c>
      <c r="Q17" s="81">
        <f>SUM(C18:P18)</f>
        <v>0</v>
      </c>
      <c r="R17" s="29"/>
    </row>
    <row r="18" spans="1:18" ht="17" thickBot="1" x14ac:dyDescent="0.25">
      <c r="A18" s="39" t="s">
        <v>24</v>
      </c>
      <c r="B18" s="40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28"/>
      <c r="N18" s="28"/>
      <c r="O18" s="28"/>
      <c r="P18" s="79"/>
      <c r="Q18" s="74"/>
      <c r="R18" s="29"/>
    </row>
    <row r="19" spans="1:18" x14ac:dyDescent="0.2">
      <c r="A19" s="82" t="s">
        <v>26</v>
      </c>
      <c r="B19" s="83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78">
        <f t="shared" si="3"/>
        <v>-1</v>
      </c>
      <c r="Q19" s="73">
        <f>SUM(C20:P20)</f>
        <v>0</v>
      </c>
      <c r="R19" s="29"/>
    </row>
    <row r="20" spans="1:18" ht="17" thickBot="1" x14ac:dyDescent="0.25">
      <c r="A20" s="41" t="s">
        <v>24</v>
      </c>
      <c r="B20" s="42"/>
      <c r="C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79"/>
      <c r="Q20" s="74"/>
      <c r="R20" s="29"/>
    </row>
    <row r="21" spans="1:18" x14ac:dyDescent="0.2">
      <c r="A21" s="84" t="s">
        <v>28</v>
      </c>
      <c r="B21" s="72"/>
      <c r="C21" s="4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78">
        <f t="shared" si="3"/>
        <v>-1</v>
      </c>
      <c r="Q21" s="85">
        <f>SUM(C22:P22)</f>
        <v>0</v>
      </c>
      <c r="R21" s="29"/>
    </row>
    <row r="22" spans="1:18" ht="17" thickBot="1" x14ac:dyDescent="0.25">
      <c r="A22" s="44" t="s">
        <v>24</v>
      </c>
      <c r="B22" s="45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37"/>
      <c r="N22" s="37"/>
      <c r="O22" s="37"/>
      <c r="P22" s="79"/>
      <c r="Q22" s="86"/>
      <c r="R22" s="29"/>
    </row>
    <row r="23" spans="1:18" x14ac:dyDescent="0.2">
      <c r="A23" s="84" t="s">
        <v>29</v>
      </c>
      <c r="B23" s="72"/>
      <c r="C23" s="32"/>
      <c r="D23" s="33"/>
      <c r="E23" s="33"/>
      <c r="F23" s="33"/>
      <c r="G23" s="33"/>
      <c r="H23" s="33"/>
      <c r="I23" s="33"/>
      <c r="J23" s="33"/>
      <c r="K23" s="33"/>
      <c r="L23" s="33"/>
      <c r="M23" s="28"/>
      <c r="N23" s="28"/>
      <c r="O23" s="28"/>
      <c r="P23" s="78">
        <f t="shared" si="3"/>
        <v>-1</v>
      </c>
      <c r="Q23" s="73">
        <f>SUM(C24:P24)</f>
        <v>0</v>
      </c>
      <c r="R23" s="29"/>
    </row>
    <row r="24" spans="1:18" ht="17" thickBot="1" x14ac:dyDescent="0.25">
      <c r="A24" s="44" t="s">
        <v>24</v>
      </c>
      <c r="B24" s="45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79"/>
      <c r="Q24" s="74"/>
      <c r="R24" s="29"/>
    </row>
    <row r="25" spans="1:18" x14ac:dyDescent="0.2">
      <c r="A25" s="80" t="s">
        <v>30</v>
      </c>
      <c r="B25" s="72"/>
      <c r="C25" s="32"/>
      <c r="D25" s="3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78">
        <f t="shared" si="3"/>
        <v>-1</v>
      </c>
      <c r="Q25" s="81">
        <f>SUM(C26:P26)</f>
        <v>0</v>
      </c>
      <c r="R25" s="29"/>
    </row>
    <row r="26" spans="1:18" ht="18" thickBot="1" x14ac:dyDescent="0.25">
      <c r="A26" s="46" t="s">
        <v>24</v>
      </c>
      <c r="B26" s="47"/>
      <c r="C26" s="32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79"/>
      <c r="Q26" s="74"/>
      <c r="R26" s="29"/>
    </row>
    <row r="27" spans="1:18" x14ac:dyDescent="0.2">
      <c r="A27" s="80" t="s">
        <v>31</v>
      </c>
      <c r="B27" s="72"/>
      <c r="C27" s="32"/>
      <c r="D27" s="48"/>
      <c r="E27" s="48"/>
      <c r="F27" s="48"/>
      <c r="G27" s="48"/>
      <c r="H27" s="48"/>
      <c r="I27" s="48"/>
      <c r="J27" s="33"/>
      <c r="K27" s="33"/>
      <c r="L27" s="48"/>
      <c r="M27" s="48"/>
      <c r="N27" s="48"/>
      <c r="O27" s="48"/>
      <c r="P27" s="78">
        <f t="shared" si="3"/>
        <v>-1</v>
      </c>
      <c r="Q27" s="73">
        <f>SUM(C28:P28)</f>
        <v>0</v>
      </c>
      <c r="R27" s="29"/>
    </row>
    <row r="28" spans="1:18" ht="18" thickBot="1" x14ac:dyDescent="0.25">
      <c r="A28" s="46" t="s">
        <v>24</v>
      </c>
      <c r="B28" s="47"/>
      <c r="C28" s="32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79"/>
      <c r="Q28" s="74"/>
      <c r="R28" s="29"/>
    </row>
    <row r="29" spans="1:18" x14ac:dyDescent="0.2">
      <c r="A29" s="80" t="s">
        <v>32</v>
      </c>
      <c r="B29" s="72"/>
      <c r="C29" s="32"/>
      <c r="D29" s="33"/>
      <c r="E29" s="33"/>
      <c r="F29" s="33"/>
      <c r="G29" s="33"/>
      <c r="H29" s="48"/>
      <c r="I29" s="48"/>
      <c r="J29" s="33"/>
      <c r="K29" s="33"/>
      <c r="L29" s="33"/>
      <c r="M29" s="33"/>
      <c r="N29" s="33"/>
      <c r="O29" s="33"/>
      <c r="P29" s="78">
        <f t="shared" si="3"/>
        <v>-1</v>
      </c>
      <c r="Q29" s="73">
        <f>SUM(C30:P30)</f>
        <v>0</v>
      </c>
      <c r="R29" s="29"/>
    </row>
    <row r="30" spans="1:18" ht="18" thickBot="1" x14ac:dyDescent="0.25">
      <c r="A30" s="46" t="s">
        <v>24</v>
      </c>
      <c r="B30" s="47"/>
      <c r="C30" s="32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79"/>
      <c r="Q30" s="74"/>
      <c r="R30" s="29"/>
    </row>
    <row r="31" spans="1:18" x14ac:dyDescent="0.2">
      <c r="A31" s="80" t="s">
        <v>33</v>
      </c>
      <c r="B31" s="72"/>
      <c r="C31" s="32"/>
      <c r="D31" s="33"/>
      <c r="E31" s="33"/>
      <c r="F31" s="33"/>
      <c r="G31" s="33"/>
      <c r="H31" s="48"/>
      <c r="I31" s="48"/>
      <c r="J31" s="33"/>
      <c r="K31" s="33"/>
      <c r="L31" s="33"/>
      <c r="M31" s="33"/>
      <c r="N31" s="33"/>
      <c r="O31" s="33"/>
      <c r="P31" s="78">
        <f t="shared" si="3"/>
        <v>-1</v>
      </c>
      <c r="Q31" s="73">
        <f>SUM(C32:P32)</f>
        <v>0</v>
      </c>
      <c r="R31" s="29"/>
    </row>
    <row r="32" spans="1:18" ht="18" thickBot="1" x14ac:dyDescent="0.25">
      <c r="A32" s="49" t="s">
        <v>24</v>
      </c>
      <c r="B32" s="50"/>
      <c r="C32" s="32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79"/>
      <c r="Q32" s="74"/>
      <c r="R32" s="29"/>
    </row>
    <row r="33" spans="1:18" x14ac:dyDescent="0.2">
      <c r="A33" s="71" t="s">
        <v>34</v>
      </c>
      <c r="B33" s="72"/>
      <c r="C33" s="32"/>
      <c r="D33" s="3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78">
        <f t="shared" si="3"/>
        <v>-1</v>
      </c>
      <c r="Q33" s="81">
        <f>SUM(C34:P34)</f>
        <v>0</v>
      </c>
      <c r="R33" s="29"/>
    </row>
    <row r="34" spans="1:18" ht="18" thickBot="1" x14ac:dyDescent="0.25">
      <c r="A34" s="51" t="s">
        <v>24</v>
      </c>
      <c r="B34" s="52"/>
      <c r="C34" s="32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79"/>
      <c r="Q34" s="74"/>
      <c r="R34" s="29"/>
    </row>
    <row r="35" spans="1:18" x14ac:dyDescent="0.2">
      <c r="A35" s="71" t="s">
        <v>35</v>
      </c>
      <c r="B35" s="72"/>
      <c r="C35" s="32"/>
      <c r="D35" s="48"/>
      <c r="E35" s="48"/>
      <c r="F35" s="48"/>
      <c r="G35" s="48"/>
      <c r="H35" s="48"/>
      <c r="I35" s="48"/>
      <c r="J35" s="33"/>
      <c r="K35" s="33"/>
      <c r="L35" s="48"/>
      <c r="M35" s="48"/>
      <c r="N35" s="48"/>
      <c r="O35" s="48"/>
      <c r="P35" s="78">
        <f t="shared" si="3"/>
        <v>-1</v>
      </c>
      <c r="Q35" s="73">
        <f>SUM(C36:P36)</f>
        <v>0</v>
      </c>
      <c r="R35" s="29"/>
    </row>
    <row r="36" spans="1:18" ht="18" thickBot="1" x14ac:dyDescent="0.25">
      <c r="A36" s="51" t="s">
        <v>24</v>
      </c>
      <c r="B36" s="52"/>
      <c r="C36" s="32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79"/>
      <c r="Q36" s="74"/>
      <c r="R36" s="29"/>
    </row>
    <row r="37" spans="1:18" x14ac:dyDescent="0.2">
      <c r="A37" s="71" t="s">
        <v>36</v>
      </c>
      <c r="B37" s="72"/>
      <c r="C37" s="32"/>
      <c r="D37" s="33"/>
      <c r="E37" s="33"/>
      <c r="F37" s="33"/>
      <c r="G37" s="33"/>
      <c r="H37" s="48"/>
      <c r="I37" s="48"/>
      <c r="J37" s="33"/>
      <c r="K37" s="33"/>
      <c r="L37" s="33"/>
      <c r="M37" s="33"/>
      <c r="N37" s="33"/>
      <c r="O37" s="33"/>
      <c r="P37" s="78">
        <f t="shared" si="3"/>
        <v>-1</v>
      </c>
      <c r="Q37" s="73">
        <f>SUM(C38:P38)</f>
        <v>0</v>
      </c>
      <c r="R37" s="29"/>
    </row>
    <row r="38" spans="1:18" ht="18" thickBot="1" x14ac:dyDescent="0.25">
      <c r="A38" s="51" t="s">
        <v>24</v>
      </c>
      <c r="B38" s="52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79"/>
      <c r="Q38" s="74"/>
      <c r="R38" s="29"/>
    </row>
    <row r="39" spans="1:18" ht="17" thickBot="1" x14ac:dyDescent="0.25">
      <c r="A39" s="75" t="s">
        <v>37</v>
      </c>
      <c r="B39" s="76"/>
      <c r="C39" s="64">
        <f>SUM(C12,C14,C16,C18,C20,C22)</f>
        <v>0</v>
      </c>
      <c r="D39" s="64">
        <f t="shared" ref="D39:O39" si="4">SUM(D12,D14,D16,D18,D20,D22,D26:D28,D30,D32,D34,D36,D38)</f>
        <v>0</v>
      </c>
      <c r="E39" s="64">
        <f t="shared" si="4"/>
        <v>0</v>
      </c>
      <c r="F39" s="64">
        <f t="shared" si="4"/>
        <v>0</v>
      </c>
      <c r="G39" s="64">
        <f t="shared" si="4"/>
        <v>0</v>
      </c>
      <c r="H39" s="64">
        <f t="shared" si="4"/>
        <v>0</v>
      </c>
      <c r="I39" s="64">
        <f t="shared" si="4"/>
        <v>0</v>
      </c>
      <c r="J39" s="64">
        <f t="shared" si="4"/>
        <v>0</v>
      </c>
      <c r="K39" s="64">
        <f t="shared" si="4"/>
        <v>0</v>
      </c>
      <c r="L39" s="64">
        <f t="shared" si="4"/>
        <v>0</v>
      </c>
      <c r="M39" s="64">
        <f t="shared" si="4"/>
        <v>0</v>
      </c>
      <c r="N39" s="64">
        <f t="shared" si="4"/>
        <v>0</v>
      </c>
      <c r="O39" s="64">
        <f t="shared" si="4"/>
        <v>0</v>
      </c>
      <c r="P39" s="64">
        <f>SUM(P12,P14,P16,P18,P20,P22,P26:P28,P30,P32,P34,P36,P38)</f>
        <v>-1</v>
      </c>
      <c r="Q39" s="53">
        <f>SUM(Q11:Q38)</f>
        <v>0</v>
      </c>
      <c r="R39" s="29"/>
    </row>
    <row r="40" spans="1:18" ht="17" thickBot="1" x14ac:dyDescent="0.25">
      <c r="A40" s="65"/>
      <c r="B40" s="77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53">
        <f>SUM(C39:P40)</f>
        <v>-1</v>
      </c>
      <c r="R40" s="29"/>
    </row>
    <row r="41" spans="1:18" ht="17" thickBot="1" x14ac:dyDescent="0.25">
      <c r="A41" s="66" t="s">
        <v>38</v>
      </c>
      <c r="B41" s="67"/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4">
        <f>SUM(C41:P41)</f>
        <v>0</v>
      </c>
      <c r="R41" s="56"/>
    </row>
    <row r="42" spans="1:18" x14ac:dyDescent="0.2">
      <c r="A42" t="s">
        <v>24</v>
      </c>
      <c r="B42">
        <f>SUM(B38,B36,B34,B32,B30,B28,B26,B22,B18,B12)</f>
        <v>0</v>
      </c>
      <c r="C42" s="57"/>
      <c r="D42" s="57"/>
      <c r="E42" s="57"/>
      <c r="F42" s="57"/>
      <c r="G42" s="57"/>
      <c r="H42" s="57"/>
      <c r="I42" s="57"/>
    </row>
    <row r="43" spans="1:18" x14ac:dyDescent="0.2">
      <c r="A43" s="59" t="s">
        <v>39</v>
      </c>
      <c r="B43" s="60" t="e">
        <f>Q41/B42</f>
        <v>#DIV/0!</v>
      </c>
      <c r="C43" s="68"/>
      <c r="D43" s="69"/>
      <c r="E43" s="69"/>
      <c r="F43" s="69"/>
      <c r="G43" s="69"/>
      <c r="H43" s="69"/>
      <c r="I43" s="69"/>
      <c r="J43" s="69"/>
      <c r="K43" s="70"/>
      <c r="L43" s="69"/>
      <c r="M43" s="69"/>
      <c r="N43" s="69"/>
      <c r="O43" s="69"/>
    </row>
    <row r="44" spans="1:18" x14ac:dyDescent="0.2">
      <c r="C44" s="68"/>
      <c r="D44" s="69"/>
      <c r="E44" s="69"/>
      <c r="F44" s="69"/>
      <c r="G44" s="69"/>
      <c r="H44" s="69"/>
      <c r="I44" s="69"/>
      <c r="J44" s="69"/>
      <c r="K44" s="70"/>
      <c r="L44" s="69"/>
      <c r="M44" s="69"/>
      <c r="N44" s="69"/>
      <c r="O44" s="69"/>
    </row>
  </sheetData>
  <mergeCells count="80">
    <mergeCell ref="A6:B6"/>
    <mergeCell ref="O6:P6"/>
    <mergeCell ref="C1:Q1"/>
    <mergeCell ref="A3:B3"/>
    <mergeCell ref="L3:M3"/>
    <mergeCell ref="O3:P3"/>
    <mergeCell ref="E4:F4"/>
    <mergeCell ref="G4:K4"/>
    <mergeCell ref="L4:M4"/>
    <mergeCell ref="O4:P4"/>
    <mergeCell ref="A5:B5"/>
    <mergeCell ref="E5:F5"/>
    <mergeCell ref="G5:K5"/>
    <mergeCell ref="L5:M5"/>
    <mergeCell ref="O5:P5"/>
    <mergeCell ref="A8:B8"/>
    <mergeCell ref="Q8:Q10"/>
    <mergeCell ref="A9:B9"/>
    <mergeCell ref="A10:B10"/>
    <mergeCell ref="A11:B11"/>
    <mergeCell ref="Q11:Q12"/>
    <mergeCell ref="P8:P10"/>
    <mergeCell ref="P11:P12"/>
    <mergeCell ref="A13:B13"/>
    <mergeCell ref="Q13:Q14"/>
    <mergeCell ref="A15:B15"/>
    <mergeCell ref="Q15:Q16"/>
    <mergeCell ref="A17:B17"/>
    <mergeCell ref="Q17:Q18"/>
    <mergeCell ref="P13:P14"/>
    <mergeCell ref="P15:P16"/>
    <mergeCell ref="P17:P18"/>
    <mergeCell ref="A19:B19"/>
    <mergeCell ref="Q19:Q20"/>
    <mergeCell ref="A21:B21"/>
    <mergeCell ref="Q21:Q22"/>
    <mergeCell ref="A23:B23"/>
    <mergeCell ref="Q23:Q24"/>
    <mergeCell ref="P19:P20"/>
    <mergeCell ref="P21:P22"/>
    <mergeCell ref="P23:P24"/>
    <mergeCell ref="A25:B25"/>
    <mergeCell ref="Q25:Q26"/>
    <mergeCell ref="A27:B27"/>
    <mergeCell ref="Q27:Q28"/>
    <mergeCell ref="A29:B29"/>
    <mergeCell ref="Q29:Q30"/>
    <mergeCell ref="P25:P26"/>
    <mergeCell ref="P27:P28"/>
    <mergeCell ref="P29:P30"/>
    <mergeCell ref="A31:B31"/>
    <mergeCell ref="Q31:Q32"/>
    <mergeCell ref="A33:B33"/>
    <mergeCell ref="Q33:Q34"/>
    <mergeCell ref="A35:B35"/>
    <mergeCell ref="Q35:Q36"/>
    <mergeCell ref="P31:P32"/>
    <mergeCell ref="P33:P34"/>
    <mergeCell ref="P35:P36"/>
    <mergeCell ref="A37:B37"/>
    <mergeCell ref="Q37:Q38"/>
    <mergeCell ref="A39:B40"/>
    <mergeCell ref="C39:C40"/>
    <mergeCell ref="D39:D40"/>
    <mergeCell ref="E39:E40"/>
    <mergeCell ref="F39:F40"/>
    <mergeCell ref="G39:G40"/>
    <mergeCell ref="H39:H40"/>
    <mergeCell ref="I39:I40"/>
    <mergeCell ref="P37:P38"/>
    <mergeCell ref="P39:P40"/>
    <mergeCell ref="A41:B41"/>
    <mergeCell ref="C43:O43"/>
    <mergeCell ref="C44:O44"/>
    <mergeCell ref="J39:J40"/>
    <mergeCell ref="K39:K40"/>
    <mergeCell ref="L39:L40"/>
    <mergeCell ref="M39:M40"/>
    <mergeCell ref="N39:N40"/>
    <mergeCell ref="O39:O40"/>
  </mergeCells>
  <conditionalFormatting sqref="C10:L10">
    <cfRule type="containsText" dxfId="0" priority="1" operator="containsText" text="Festivo">
      <formula>NOT(ISERROR(SEARCH("Festivo",C10)))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Programmazione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Gagliardi</dc:creator>
  <cp:lastModifiedBy>Gagliardi  Nicolo'</cp:lastModifiedBy>
  <dcterms:created xsi:type="dcterms:W3CDTF">2025-06-30T07:50:08Z</dcterms:created>
  <dcterms:modified xsi:type="dcterms:W3CDTF">2026-09-27T12:55:30Z</dcterms:modified>
</cp:coreProperties>
</file>